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a08f252a4380e22/Desktop/Excel Project/"/>
    </mc:Choice>
  </mc:AlternateContent>
  <xr:revisionPtr revIDLastSave="775" documentId="8_{CEC164C7-7EAE-4FC7-9D22-EBD88A0AEB06}" xr6:coauthVersionLast="47" xr6:coauthVersionMax="47" xr10:uidLastSave="{4D476160-9404-4F15-B7C4-65090384F127}"/>
  <bookViews>
    <workbookView xWindow="-108" yWindow="-108" windowWidth="23256" windowHeight="12456" xr2:uid="{00000000-000D-0000-FFFF-FFFF00000000}"/>
  </bookViews>
  <sheets>
    <sheet name="1" sheetId="4" r:id="rId1"/>
    <sheet name="2" sheetId="5" r:id="rId2"/>
    <sheet name="3" sheetId="6" r:id="rId3"/>
    <sheet name="4" sheetId="7" r:id="rId4"/>
    <sheet name="5" sheetId="8" r:id="rId5"/>
    <sheet name="KPI CARDS" sheetId="2" r:id="rId6"/>
    <sheet name="Dashboard" sheetId="9" r:id="rId7"/>
    <sheet name="Online" sheetId="3" r:id="rId8"/>
    <sheet name="Dummy" sheetId="1" r:id="rId9"/>
  </sheets>
  <definedNames>
    <definedName name="ExternalData_1" localSheetId="7" hidden="1">Online!$A$1:$I$251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9" i="2" l="1"/>
  <c r="M32" i="2"/>
  <c r="L29" i="2" l="1"/>
  <c r="J29" i="2"/>
  <c r="J32" i="2"/>
  <c r="G29" i="2"/>
  <c r="G32" i="2"/>
  <c r="E2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9E0BB2-438E-4DA6-A891-6BAAAD32B731}" keepAlive="1" name="Query - Online" description="Connection to the 'Online' query in the workbook." type="5" refreshedVersion="8" background="1" saveData="1">
    <dbPr connection="Provider=Microsoft.Mashup.OleDb.1;Data Source=$Workbook$;Location=Online;Extended Properties=&quot;&quot;" command="SELECT * FROM [Online]"/>
  </connection>
</connections>
</file>

<file path=xl/sharedStrings.xml><?xml version="1.0" encoding="utf-8"?>
<sst xmlns="http://schemas.openxmlformats.org/spreadsheetml/2006/main" count="3336" uniqueCount="290">
  <si>
    <t>StudentID</t>
  </si>
  <si>
    <t>StudentName</t>
  </si>
  <si>
    <t>CourseID</t>
  </si>
  <si>
    <t>CourseName</t>
  </si>
  <si>
    <t>EnrollmentDate</t>
  </si>
  <si>
    <t>CompletionStatus</t>
  </si>
  <si>
    <t>CourseFee</t>
  </si>
  <si>
    <t>InstructorName</t>
  </si>
  <si>
    <t>Rating</t>
  </si>
  <si>
    <t>S1654</t>
  </si>
  <si>
    <t>S1089</t>
  </si>
  <si>
    <t>S1616</t>
  </si>
  <si>
    <t>S1777</t>
  </si>
  <si>
    <t>S1094</t>
  </si>
  <si>
    <t>S1747</t>
  </si>
  <si>
    <t>S1906</t>
  </si>
  <si>
    <t>S1081</t>
  </si>
  <si>
    <t>S1379</t>
  </si>
  <si>
    <t>S1650</t>
  </si>
  <si>
    <t>S1224</t>
  </si>
  <si>
    <t>S1067</t>
  </si>
  <si>
    <t>S1146</t>
  </si>
  <si>
    <t>S1438</t>
  </si>
  <si>
    <t>S1881</t>
  </si>
  <si>
    <t>S1390</t>
  </si>
  <si>
    <t>S1787</t>
  </si>
  <si>
    <t>S1995</t>
  </si>
  <si>
    <t>S1382</t>
  </si>
  <si>
    <t>S1245</t>
  </si>
  <si>
    <t>S1778</t>
  </si>
  <si>
    <t>S1540</t>
  </si>
  <si>
    <t>S1408</t>
  </si>
  <si>
    <t>S1021</t>
  </si>
  <si>
    <t>S1927</t>
  </si>
  <si>
    <t>S1552</t>
  </si>
  <si>
    <t>S1099</t>
  </si>
  <si>
    <t>S1062</t>
  </si>
  <si>
    <t>S1143</t>
  </si>
  <si>
    <t>S1100</t>
  </si>
  <si>
    <t>S1218</t>
  </si>
  <si>
    <t>S1292</t>
  </si>
  <si>
    <t>S1593</t>
  </si>
  <si>
    <t>S1161</t>
  </si>
  <si>
    <t>S1413</t>
  </si>
  <si>
    <t>S1535</t>
  </si>
  <si>
    <t>S1271</t>
  </si>
  <si>
    <t>S1469</t>
  </si>
  <si>
    <t>S1902</t>
  </si>
  <si>
    <t>S1626</t>
  </si>
  <si>
    <t>S1911</t>
  </si>
  <si>
    <t>S1208</t>
  </si>
  <si>
    <t>S1003</t>
  </si>
  <si>
    <t>S1722</t>
  </si>
  <si>
    <t>S1036</t>
  </si>
  <si>
    <t>S1920</t>
  </si>
  <si>
    <t>S1997</t>
  </si>
  <si>
    <t>S1754</t>
  </si>
  <si>
    <t>S1879</t>
  </si>
  <si>
    <t>S1228</t>
  </si>
  <si>
    <t>S1359</t>
  </si>
  <si>
    <t>S1985</t>
  </si>
  <si>
    <t>S1446</t>
  </si>
  <si>
    <t>S1001</t>
  </si>
  <si>
    <t>S1679</t>
  </si>
  <si>
    <t>S1713</t>
  </si>
  <si>
    <t>S1630</t>
  </si>
  <si>
    <t>S1440</t>
  </si>
  <si>
    <t>S1484</t>
  </si>
  <si>
    <t>S1838</t>
  </si>
  <si>
    <t>S1486</t>
  </si>
  <si>
    <t>S1506</t>
  </si>
  <si>
    <t>S1797</t>
  </si>
  <si>
    <t>S1570</t>
  </si>
  <si>
    <t>S1627</t>
  </si>
  <si>
    <t>S1265</t>
  </si>
  <si>
    <t>S1730</t>
  </si>
  <si>
    <t>S1154</t>
  </si>
  <si>
    <t>S1338</t>
  </si>
  <si>
    <t>S1968</t>
  </si>
  <si>
    <t>S1873</t>
  </si>
  <si>
    <t>S1029</t>
  </si>
  <si>
    <t>S1546</t>
  </si>
  <si>
    <t>S1887</t>
  </si>
  <si>
    <t>S1465</t>
  </si>
  <si>
    <t>S1481</t>
  </si>
  <si>
    <t>S1772</t>
  </si>
  <si>
    <t>S1129</t>
  </si>
  <si>
    <t>S1171</t>
  </si>
  <si>
    <t>S1693</t>
  </si>
  <si>
    <t>S1070</t>
  </si>
  <si>
    <t>S1983</t>
  </si>
  <si>
    <t>S1793</t>
  </si>
  <si>
    <t>S1850</t>
  </si>
  <si>
    <t>S1286</t>
  </si>
  <si>
    <t>S1500</t>
  </si>
  <si>
    <t>S1811</t>
  </si>
  <si>
    <t>S1763</t>
  </si>
  <si>
    <t>S1257</t>
  </si>
  <si>
    <t>S1756</t>
  </si>
  <si>
    <t>S1183</t>
  </si>
  <si>
    <t>S1714</t>
  </si>
  <si>
    <t>S1490</t>
  </si>
  <si>
    <t>S1841</t>
  </si>
  <si>
    <t>S1152</t>
  </si>
  <si>
    <t>S1809</t>
  </si>
  <si>
    <t>S1439</t>
  </si>
  <si>
    <t>S1676</t>
  </si>
  <si>
    <t>S1002</t>
  </si>
  <si>
    <t>S1719</t>
  </si>
  <si>
    <t>S1117</t>
  </si>
  <si>
    <t>S1965</t>
  </si>
  <si>
    <t>S1752</t>
  </si>
  <si>
    <t>S1041</t>
  </si>
  <si>
    <t>S1337</t>
  </si>
  <si>
    <t>S1090</t>
  </si>
  <si>
    <t>S1473</t>
  </si>
  <si>
    <t>S1124</t>
  </si>
  <si>
    <t>S1417</t>
  </si>
  <si>
    <t>S1521</t>
  </si>
  <si>
    <t>S1392</t>
  </si>
  <si>
    <t>S1273</t>
  </si>
  <si>
    <t>S1457</t>
  </si>
  <si>
    <t>S1955</t>
  </si>
  <si>
    <t>S1044</t>
  </si>
  <si>
    <t>S1987</t>
  </si>
  <si>
    <t>S1932</t>
  </si>
  <si>
    <t>S1480</t>
  </si>
  <si>
    <t>S1977</t>
  </si>
  <si>
    <t>S1764</t>
  </si>
  <si>
    <t>S1170</t>
  </si>
  <si>
    <t>S1441</t>
  </si>
  <si>
    <t>S1179</t>
  </si>
  <si>
    <t>S1472</t>
  </si>
  <si>
    <t>S1467</t>
  </si>
  <si>
    <t>S1367</t>
  </si>
  <si>
    <t>S1008</t>
  </si>
  <si>
    <t>S1635</t>
  </si>
  <si>
    <t>S1807</t>
  </si>
  <si>
    <t>S1263</t>
  </si>
  <si>
    <t>S1549</t>
  </si>
  <si>
    <t>S1663</t>
  </si>
  <si>
    <t>S1046</t>
  </si>
  <si>
    <t>S1397</t>
  </si>
  <si>
    <t>S1670</t>
  </si>
  <si>
    <t>S1455</t>
  </si>
  <si>
    <t>S1407</t>
  </si>
  <si>
    <t>S1051</t>
  </si>
  <si>
    <t>S1600</t>
  </si>
  <si>
    <t>S1366</t>
  </si>
  <si>
    <t>S1759</t>
  </si>
  <si>
    <t>S1607</t>
  </si>
  <si>
    <t>S1561</t>
  </si>
  <si>
    <t>S1812</t>
  </si>
  <si>
    <t>S1976</t>
  </si>
  <si>
    <t>S1762</t>
  </si>
  <si>
    <t>S1420</t>
  </si>
  <si>
    <t>S1106</t>
  </si>
  <si>
    <t>S1358</t>
  </si>
  <si>
    <t>S1865</t>
  </si>
  <si>
    <t>S1145</t>
  </si>
  <si>
    <t>S1159</t>
  </si>
  <si>
    <t>S1621</t>
  </si>
  <si>
    <t>S1225</t>
  </si>
  <si>
    <t>S1782</t>
  </si>
  <si>
    <t>S1132</t>
  </si>
  <si>
    <t>S1019</t>
  </si>
  <si>
    <t>S1296</t>
  </si>
  <si>
    <t>S1447</t>
  </si>
  <si>
    <t>S1891</t>
  </si>
  <si>
    <t>S1543</t>
  </si>
  <si>
    <t>S1105</t>
  </si>
  <si>
    <t>S1181</t>
  </si>
  <si>
    <t>S1605</t>
  </si>
  <si>
    <t>S1058</t>
  </si>
  <si>
    <t>S1567</t>
  </si>
  <si>
    <t>S1661</t>
  </si>
  <si>
    <t>S1694</t>
  </si>
  <si>
    <t>S1083</t>
  </si>
  <si>
    <t>S1609</t>
  </si>
  <si>
    <t>S1095</t>
  </si>
  <si>
    <t>S1349</t>
  </si>
  <si>
    <t>S1519</t>
  </si>
  <si>
    <t>S1185</t>
  </si>
  <si>
    <t>S1992</t>
  </si>
  <si>
    <t>S1988</t>
  </si>
  <si>
    <t>S1656</t>
  </si>
  <si>
    <t>S1085</t>
  </si>
  <si>
    <t>S1836</t>
  </si>
  <si>
    <t>S1241</t>
  </si>
  <si>
    <t>S1810</t>
  </si>
  <si>
    <t>S1459</t>
  </si>
  <si>
    <t>S1244</t>
  </si>
  <si>
    <t>S1588</t>
  </si>
  <si>
    <t>S1426</t>
  </si>
  <si>
    <t>S1894</t>
  </si>
  <si>
    <t>S1206</t>
  </si>
  <si>
    <t>S1279</t>
  </si>
  <si>
    <t>S1347</t>
  </si>
  <si>
    <t>S1744</t>
  </si>
  <si>
    <t>S1706</t>
  </si>
  <si>
    <t>S1445</t>
  </si>
  <si>
    <t>S1525</t>
  </si>
  <si>
    <t>S1157</t>
  </si>
  <si>
    <t>S1396</t>
  </si>
  <si>
    <t>S1555</t>
  </si>
  <si>
    <t>S1520</t>
  </si>
  <si>
    <t>S1460</t>
  </si>
  <si>
    <t>S1443</t>
  </si>
  <si>
    <t>S1330</t>
  </si>
  <si>
    <t>S1281</t>
  </si>
  <si>
    <t>S1964</t>
  </si>
  <si>
    <t>S1042</t>
  </si>
  <si>
    <t>S1785</t>
  </si>
  <si>
    <t>S1494</t>
  </si>
  <si>
    <t>S1425</t>
  </si>
  <si>
    <t>S1882</t>
  </si>
  <si>
    <t>S1247</t>
  </si>
  <si>
    <t>S1297</t>
  </si>
  <si>
    <t>S1781</t>
  </si>
  <si>
    <t>S1092</t>
  </si>
  <si>
    <t>S1052</t>
  </si>
  <si>
    <t>S1516</t>
  </si>
  <si>
    <t>S1571</t>
  </si>
  <si>
    <t>Ishita</t>
  </si>
  <si>
    <t>Priya</t>
  </si>
  <si>
    <t>Aarav</t>
  </si>
  <si>
    <t>Karan</t>
  </si>
  <si>
    <t>Vikram</t>
  </si>
  <si>
    <t>Ananya</t>
  </si>
  <si>
    <t>Sneha</t>
  </si>
  <si>
    <t>Meera</t>
  </si>
  <si>
    <t>Ravi</t>
  </si>
  <si>
    <t>Arjun</t>
  </si>
  <si>
    <t>C101</t>
  </si>
  <si>
    <t>C107</t>
  </si>
  <si>
    <t>C104</t>
  </si>
  <si>
    <t>C102</t>
  </si>
  <si>
    <t>C106</t>
  </si>
  <si>
    <t>C103</t>
  </si>
  <si>
    <t>C108</t>
  </si>
  <si>
    <t>C105</t>
  </si>
  <si>
    <t>Machine Learning</t>
  </si>
  <si>
    <t>Python Basics</t>
  </si>
  <si>
    <t>Statistics 101</t>
  </si>
  <si>
    <t>Data Visualization</t>
  </si>
  <si>
    <t>Excel Mastery</t>
  </si>
  <si>
    <t>SQL for Data</t>
  </si>
  <si>
    <t>Power BI</t>
  </si>
  <si>
    <t>Business Analytics</t>
  </si>
  <si>
    <t>Completed</t>
  </si>
  <si>
    <t>In Progress</t>
  </si>
  <si>
    <t>Dropped</t>
  </si>
  <si>
    <t>Dr. Sharma</t>
  </si>
  <si>
    <t>Prof. Iyer</t>
  </si>
  <si>
    <t>Dr. Khan</t>
  </si>
  <si>
    <t>Dr. Patel</t>
  </si>
  <si>
    <t>Prof. Reddy</t>
  </si>
  <si>
    <t>5</t>
  </si>
  <si>
    <t>Not Rated</t>
  </si>
  <si>
    <t>1</t>
  </si>
  <si>
    <t>3</t>
  </si>
  <si>
    <t>2</t>
  </si>
  <si>
    <t>4</t>
  </si>
  <si>
    <t>Row Labels</t>
  </si>
  <si>
    <t>Grand Total</t>
  </si>
  <si>
    <t>Count of StudentID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</si>
  <si>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</si>
  <si>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</si>
  <si>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</si>
  <si>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</si>
  <si>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</si>
  <si>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</si>
  <si>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</si>
  <si>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</si>
  <si>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</si>
  <si>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</si>
  <si>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</si>
  <si>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</si>
  <si>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</si>
  <si>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CourseFee</t>
  </si>
  <si>
    <t>Count of Rating</t>
  </si>
  <si>
    <t>Total enrollments</t>
  </si>
  <si>
    <t>Complete Rate %</t>
  </si>
  <si>
    <t>Dropout Rate</t>
  </si>
  <si>
    <t>Total Revenue</t>
  </si>
  <si>
    <t xml:space="preserve">Total Completed Students </t>
  </si>
  <si>
    <t>Total Dropped Student</t>
  </si>
  <si>
    <t>Total progress in students</t>
  </si>
  <si>
    <t>Progress In Rate %</t>
  </si>
  <si>
    <t>KPI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</si>
</sst>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0.0,,&quot;M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9" fontId="0" fillId="0" borderId="0" xfId="1" applyFont="1"/>
    <xf numFmtId="165" fontId="0" fillId="0" borderId="0" xfId="0" applyNumberFormat="1"/>
    <xf numFmtId="0" fontId="3" fillId="0" borderId="0" xfId="0" applyFont="1"/>
  </cellXfs>
  <cellStyles count="2">
    <cellStyle name="Normal" xfId="0" builtinId="0"/>
    <cellStyle name="Percent" xfId="1" builtinId="5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[Online_Couse_ Dashboard.xlsx]1!PivotTable1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Enrollment</a:t>
            </a:r>
            <a:r>
              <a:rPr lang="en-IN" baseline="0"/>
              <a:t> Analysis</a:t>
            </a:r>
            <a:endParaRPr lang="en-IN"/>
          </a:p>
        </c:rich>
      </c:tx>
      <c:layout>
        <c:manualLayout>
          <c:xMode val="edge"/>
          <c:yMode val="edge"/>
          <c:x val="0.31370122484689411"/>
          <c:y val="9.6201516477107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'1'!$A$4:$A$12</c:f>
              <c:strCache>
                <c:ptCount val="8"/>
                <c:pt idx="0">
                  <c:v>Business Analytics</c:v>
                </c:pt>
                <c:pt idx="1">
                  <c:v>Data Visualization</c:v>
                </c:pt>
                <c:pt idx="2">
                  <c:v>Excel Mastery</c:v>
                </c:pt>
                <c:pt idx="3">
                  <c:v>Machine Learning</c:v>
                </c:pt>
                <c:pt idx="4">
                  <c:v>Power BI</c:v>
                </c:pt>
                <c:pt idx="5">
                  <c:v>Python Basics</c:v>
                </c:pt>
                <c:pt idx="6">
                  <c:v>SQL for Data</c:v>
                </c:pt>
                <c:pt idx="7">
                  <c:v>Statistics 101</c:v>
                </c:pt>
              </c:strCache>
            </c:strRef>
          </c:cat>
          <c:val>
            <c:numRef>
              <c:f>'1'!$B$4:$B$12</c:f>
              <c:numCache>
                <c:formatCode>General</c:formatCode>
                <c:ptCount val="8"/>
                <c:pt idx="0">
                  <c:v>30</c:v>
                </c:pt>
                <c:pt idx="1">
                  <c:v>39</c:v>
                </c:pt>
                <c:pt idx="2">
                  <c:v>33</c:v>
                </c:pt>
                <c:pt idx="3">
                  <c:v>32</c:v>
                </c:pt>
                <c:pt idx="4">
                  <c:v>39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1-4049-9251-46C05DA20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6003423"/>
        <c:axId val="1076003903"/>
      </c:barChart>
      <c:catAx>
        <c:axId val="1076003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003903"/>
        <c:crosses val="autoZero"/>
        <c:auto val="1"/>
        <c:lblAlgn val="ctr"/>
        <c:lblOffset val="100"/>
        <c:noMultiLvlLbl val="0"/>
      </c:catAx>
      <c:valAx>
        <c:axId val="107600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00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[Online_Couse_ Dashboard.xlsx]2!PivotTable2</c:name>
    <c:fmtId val="11"/>
  </c:pivotSource>
  <c:chart>
    <c:autoTitleDeleted val="1"/>
    <c:pivotFmts>
      <c:pivotFmt>
        <c:idx val="0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shade val="6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3">
              <a:tint val="6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3">
              <a:shade val="6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>
                      <a:shade val="6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>
              <a:tint val="6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>
                      <a:tint val="6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'2'!$E$10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CDEF-4931-A7D1-BCE664E316C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CDEF-4931-A7D1-BCE664E316C2}"/>
              </c:ext>
            </c:extLst>
          </c:dPt>
          <c:dPt>
            <c:idx val="2"/>
            <c:bubble3D val="0"/>
            <c:spPr>
              <a:solidFill>
                <a:schemeClr val="accent3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CDEF-4931-A7D1-BCE664E316C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CDEF-4931-A7D1-BCE664E316C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DEF-4931-A7D1-BCE664E316C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CDEF-4931-A7D1-BCE664E316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'2'!$D$11:$D$14</c:f>
              <c:strCache>
                <c:ptCount val="3"/>
                <c:pt idx="0">
                  <c:v>Completed</c:v>
                </c:pt>
                <c:pt idx="1">
                  <c:v>Dropped</c:v>
                </c:pt>
                <c:pt idx="2">
                  <c:v>In Progress</c:v>
                </c:pt>
              </c:strCache>
            </c:strRef>
          </c:cat>
          <c:val>
            <c:numRef>
              <c:f>'2'!$E$11:$E$14</c:f>
              <c:numCache>
                <c:formatCode>General</c:formatCode>
                <c:ptCount val="3"/>
                <c:pt idx="0">
                  <c:v>90</c:v>
                </c:pt>
                <c:pt idx="1">
                  <c:v>86</c:v>
                </c:pt>
                <c:pt idx="2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F-4931-A7D1-BCE664E316C2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[Online_Couse_ Dashboard.xlsx]3!PivotTable3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Instructor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'3'!$E$16:$E$17</c:f>
              <c:strCache>
                <c:ptCount val="1"/>
                <c:pt idx="0">
                  <c:v>Completed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65000"/>
                    <a:shade val="51000"/>
                    <a:satMod val="130000"/>
                  </a:schemeClr>
                </a:gs>
                <a:gs pos="80000">
                  <a:schemeClr val="accent3">
                    <a:shade val="65000"/>
                    <a:shade val="93000"/>
                    <a:satMod val="130000"/>
                  </a:schemeClr>
                </a:gs>
                <a:gs pos="100000">
                  <a:schemeClr val="accent3">
                    <a:shade val="65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'3'!$D$18:$D$23</c:f>
              <c:strCache>
                <c:ptCount val="5"/>
                <c:pt idx="0">
                  <c:v>Dr. Khan</c:v>
                </c:pt>
                <c:pt idx="1">
                  <c:v>Dr. Patel</c:v>
                </c:pt>
                <c:pt idx="2">
                  <c:v>Dr. Sharma</c:v>
                </c:pt>
                <c:pt idx="3">
                  <c:v>Prof. Iyer</c:v>
                </c:pt>
                <c:pt idx="4">
                  <c:v>Prof. Reddy</c:v>
                </c:pt>
              </c:strCache>
            </c:strRef>
          </c:cat>
          <c:val>
            <c:numRef>
              <c:f>'3'!$E$18:$E$23</c:f>
              <c:numCache>
                <c:formatCode>General</c:formatCode>
                <c:ptCount val="5"/>
                <c:pt idx="0">
                  <c:v>23</c:v>
                </c:pt>
                <c:pt idx="1">
                  <c:v>20</c:v>
                </c:pt>
                <c:pt idx="2">
                  <c:v>15</c:v>
                </c:pt>
                <c:pt idx="3">
                  <c:v>14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72-4B42-A443-82BE7329B580}"/>
            </c:ext>
          </c:extLst>
        </c:ser>
        <c:ser>
          <c:idx val="1"/>
          <c:order val="1"/>
          <c:tx>
            <c:strRef>
              <c:f>'3'!$F$16:$F$17</c:f>
              <c:strCache>
                <c:ptCount val="1"/>
                <c:pt idx="0">
                  <c:v>Dropped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'3'!$D$18:$D$23</c:f>
              <c:strCache>
                <c:ptCount val="5"/>
                <c:pt idx="0">
                  <c:v>Dr. Khan</c:v>
                </c:pt>
                <c:pt idx="1">
                  <c:v>Dr. Patel</c:v>
                </c:pt>
                <c:pt idx="2">
                  <c:v>Dr. Sharma</c:v>
                </c:pt>
                <c:pt idx="3">
                  <c:v>Prof. Iyer</c:v>
                </c:pt>
                <c:pt idx="4">
                  <c:v>Prof. Reddy</c:v>
                </c:pt>
              </c:strCache>
            </c:strRef>
          </c:cat>
          <c:val>
            <c:numRef>
              <c:f>'3'!$F$18:$F$23</c:f>
              <c:numCache>
                <c:formatCode>General</c:formatCode>
                <c:ptCount val="5"/>
                <c:pt idx="0">
                  <c:v>20</c:v>
                </c:pt>
                <c:pt idx="1">
                  <c:v>14</c:v>
                </c:pt>
                <c:pt idx="2">
                  <c:v>18</c:v>
                </c:pt>
                <c:pt idx="3">
                  <c:v>19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72-4B42-A443-82BE7329B580}"/>
            </c:ext>
          </c:extLst>
        </c:ser>
        <c:ser>
          <c:idx val="2"/>
          <c:order val="2"/>
          <c:tx>
            <c:strRef>
              <c:f>'3'!$G$16:$G$17</c:f>
              <c:strCache>
                <c:ptCount val="1"/>
                <c:pt idx="0">
                  <c:v>In Progress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65000"/>
                    <a:shade val="51000"/>
                    <a:satMod val="130000"/>
                  </a:schemeClr>
                </a:gs>
                <a:gs pos="80000">
                  <a:schemeClr val="accent3">
                    <a:tint val="65000"/>
                    <a:shade val="93000"/>
                    <a:satMod val="130000"/>
                  </a:schemeClr>
                </a:gs>
                <a:gs pos="100000">
                  <a:schemeClr val="accent3">
                    <a:tint val="65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'3'!$D$18:$D$23</c:f>
              <c:strCache>
                <c:ptCount val="5"/>
                <c:pt idx="0">
                  <c:v>Dr. Khan</c:v>
                </c:pt>
                <c:pt idx="1">
                  <c:v>Dr. Patel</c:v>
                </c:pt>
                <c:pt idx="2">
                  <c:v>Dr. Sharma</c:v>
                </c:pt>
                <c:pt idx="3">
                  <c:v>Prof. Iyer</c:v>
                </c:pt>
                <c:pt idx="4">
                  <c:v>Prof. Reddy</c:v>
                </c:pt>
              </c:strCache>
            </c:strRef>
          </c:cat>
          <c:val>
            <c:numRef>
              <c:f>'3'!$G$18:$G$23</c:f>
              <c:numCache>
                <c:formatCode>General</c:formatCode>
                <c:ptCount val="5"/>
                <c:pt idx="0">
                  <c:v>14</c:v>
                </c:pt>
                <c:pt idx="1">
                  <c:v>16</c:v>
                </c:pt>
                <c:pt idx="2">
                  <c:v>11</c:v>
                </c:pt>
                <c:pt idx="3">
                  <c:v>14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72-4B42-A443-82BE7329B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4329359"/>
        <c:axId val="1064331759"/>
      </c:barChart>
      <c:catAx>
        <c:axId val="1064329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331759"/>
        <c:crosses val="autoZero"/>
        <c:auto val="1"/>
        <c:lblAlgn val="ctr"/>
        <c:lblOffset val="100"/>
        <c:noMultiLvlLbl val="0"/>
      </c:catAx>
      <c:valAx>
        <c:axId val="1064331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32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[Online_Couse_ Dashboard.xlsx]4!PivotTable4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Enrollment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'4'!$F$5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'4'!$E$6:$E$18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'4'!$F$6:$F$18</c:f>
              <c:numCache>
                <c:formatCode>General</c:formatCode>
                <c:ptCount val="12"/>
                <c:pt idx="0">
                  <c:v>16</c:v>
                </c:pt>
                <c:pt idx="1">
                  <c:v>22</c:v>
                </c:pt>
                <c:pt idx="2">
                  <c:v>25</c:v>
                </c:pt>
                <c:pt idx="3">
                  <c:v>13</c:v>
                </c:pt>
                <c:pt idx="4">
                  <c:v>28</c:v>
                </c:pt>
                <c:pt idx="5">
                  <c:v>20</c:v>
                </c:pt>
                <c:pt idx="6">
                  <c:v>12</c:v>
                </c:pt>
                <c:pt idx="7">
                  <c:v>28</c:v>
                </c:pt>
                <c:pt idx="8">
                  <c:v>16</c:v>
                </c:pt>
                <c:pt idx="9">
                  <c:v>24</c:v>
                </c:pt>
                <c:pt idx="10">
                  <c:v>18</c:v>
                </c:pt>
                <c:pt idx="1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DB-40B6-ACDA-EF888D14D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6998303"/>
        <c:axId val="1077000703"/>
      </c:lineChart>
      <c:catAx>
        <c:axId val="107699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000703"/>
        <c:crosses val="autoZero"/>
        <c:auto val="1"/>
        <c:lblAlgn val="ctr"/>
        <c:lblOffset val="100"/>
        <c:noMultiLvlLbl val="0"/>
      </c:catAx>
      <c:valAx>
        <c:axId val="107700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99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[Online_Couse_ Dashboard.xlsx]5!PivotTable5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For Completed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'5'!$D$10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71-4796-AA59-CD831FC1ACE3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71-4796-AA59-CD831FC1ACE3}"/>
              </c:ext>
            </c:extLst>
          </c:dPt>
          <c:dPt>
            <c:idx val="2"/>
            <c:bubble3D val="0"/>
            <c:spPr>
              <a:solidFill>
                <a:schemeClr val="accent3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71-4796-AA59-CD831FC1ACE3}"/>
              </c:ext>
            </c:extLst>
          </c:dPt>
          <c:cat>
            <c:strRef>
              <c:f>'5'!$C$11:$C$14</c:f>
              <c:strCache>
                <c:ptCount val="3"/>
                <c:pt idx="0">
                  <c:v>Completed</c:v>
                </c:pt>
                <c:pt idx="1">
                  <c:v>Dropped</c:v>
                </c:pt>
                <c:pt idx="2">
                  <c:v>In Progress</c:v>
                </c:pt>
              </c:strCache>
            </c:strRef>
          </c:cat>
          <c:val>
            <c:numRef>
              <c:f>'5'!$D$11:$D$14</c:f>
              <c:numCache>
                <c:formatCode>General</c:formatCode>
                <c:ptCount val="3"/>
                <c:pt idx="0">
                  <c:v>796000</c:v>
                </c:pt>
                <c:pt idx="1">
                  <c:v>740000</c:v>
                </c:pt>
                <c:pt idx="2">
                  <c:v>605000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AEB-B9C3-2700EDDCD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[Online_Couse_ Dashboard.xlsx]KPI CARDS!PivotTable6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</a:t>
            </a:r>
            <a:r>
              <a:rPr lang="en-US" baseline="0"/>
              <a:t> Ratings By Instructor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CARDS'!$F$12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'KPI CARDS'!$E$13:$E$18</c:f>
              <c:strCache>
                <c:ptCount val="5"/>
                <c:pt idx="0">
                  <c:v>Dr. Khan</c:v>
                </c:pt>
                <c:pt idx="1">
                  <c:v>Prof. Reddy</c:v>
                </c:pt>
                <c:pt idx="2">
                  <c:v>Dr. Patel</c:v>
                </c:pt>
                <c:pt idx="3">
                  <c:v>Prof. Iyer</c:v>
                </c:pt>
                <c:pt idx="4">
                  <c:v>Dr. Sharma</c:v>
                </c:pt>
              </c:strCache>
            </c:strRef>
          </c:cat>
          <c:val>
            <c:numRef>
              <c:f>'KPI CARDS'!$F$13:$F$18</c:f>
              <c:numCache>
                <c:formatCode>0%</c:formatCode>
                <c:ptCount val="5"/>
                <c:pt idx="0">
                  <c:v>0.22800000000000001</c:v>
                </c:pt>
                <c:pt idx="1">
                  <c:v>0.20799999999999999</c:v>
                </c:pt>
                <c:pt idx="2">
                  <c:v>0.2</c:v>
                </c:pt>
                <c:pt idx="3">
                  <c:v>0.188</c:v>
                </c:pt>
                <c:pt idx="4">
                  <c:v>0.17599999999999999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D-4A39-8959-B99A002BA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1752559"/>
        <c:axId val="1261753039"/>
      </c:barChart>
      <c:catAx>
        <c:axId val="12617525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753039"/>
        <c:crosses val="autoZero"/>
        <c:auto val="1"/>
        <c:lblAlgn val="ctr"/>
        <c:lblOffset val="100"/>
        <c:noMultiLvlLbl val="0"/>
      </c:catAx>
      <c:valAx>
        <c:axId val="126175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75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[Online_Couse_ Dashboard.xlsx]1!PivotTable1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Enrollment</a:t>
            </a:r>
            <a:r>
              <a:rPr lang="en-IN" sz="1600" b="1" baseline="0"/>
              <a:t> Analysis</a:t>
            </a:r>
            <a:endParaRPr lang="en-IN" sz="1600" b="1"/>
          </a:p>
        </c:rich>
      </c:tx>
      <c:layout>
        <c:manualLayout>
          <c:xMode val="edge"/>
          <c:yMode val="edge"/>
          <c:x val="0.3368692076306099"/>
          <c:y val="0.114534602827212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'1'!$A$4:$A$12</c:f>
              <c:strCache>
                <c:ptCount val="8"/>
                <c:pt idx="0">
                  <c:v>Business Analytics</c:v>
                </c:pt>
                <c:pt idx="1">
                  <c:v>Data Visualization</c:v>
                </c:pt>
                <c:pt idx="2">
                  <c:v>Excel Mastery</c:v>
                </c:pt>
                <c:pt idx="3">
                  <c:v>Machine Learning</c:v>
                </c:pt>
                <c:pt idx="4">
                  <c:v>Power BI</c:v>
                </c:pt>
                <c:pt idx="5">
                  <c:v>Python Basics</c:v>
                </c:pt>
                <c:pt idx="6">
                  <c:v>SQL for Data</c:v>
                </c:pt>
                <c:pt idx="7">
                  <c:v>Statistics 101</c:v>
                </c:pt>
              </c:strCache>
            </c:strRef>
          </c:cat>
          <c:val>
            <c:numRef>
              <c:f>'1'!$B$4:$B$12</c:f>
              <c:numCache>
                <c:formatCode>General</c:formatCode>
                <c:ptCount val="8"/>
                <c:pt idx="0">
                  <c:v>30</c:v>
                </c:pt>
                <c:pt idx="1">
                  <c:v>39</c:v>
                </c:pt>
                <c:pt idx="2">
                  <c:v>33</c:v>
                </c:pt>
                <c:pt idx="3">
                  <c:v>32</c:v>
                </c:pt>
                <c:pt idx="4">
                  <c:v>39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A-4271-8D09-7CC8AA90EEB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76003423"/>
        <c:axId val="1076003903"/>
      </c:barChart>
      <c:catAx>
        <c:axId val="1076003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003903"/>
        <c:crosses val="autoZero"/>
        <c:auto val="1"/>
        <c:lblAlgn val="ctr"/>
        <c:lblOffset val="100"/>
        <c:noMultiLvlLbl val="0"/>
      </c:catAx>
      <c:valAx>
        <c:axId val="107600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00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[Online_Couse_ Dashboard.xlsx]2!PivotTable2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cap="none" normalizeH="0" baseline="0"/>
              <a:t>Enrollment Status</a:t>
            </a:r>
          </a:p>
          <a:p>
            <a:pPr>
              <a:defRPr/>
            </a:pPr>
            <a:r>
              <a:rPr lang="en-IN" cap="none" normalizeH="0" baseline="0"/>
              <a:t>Distribution</a:t>
            </a:r>
          </a:p>
        </c:rich>
      </c:tx>
      <c:layout>
        <c:manualLayout>
          <c:xMode val="edge"/>
          <c:yMode val="edge"/>
          <c:x val="0.28302314937568968"/>
          <c:y val="0.122214067981481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shade val="6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tint val="6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shade val="6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>
                      <a:shade val="6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>
              <a:tint val="6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>
                      <a:tint val="6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shade val="6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>
                      <a:shade val="6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>
              <a:tint val="6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>
                      <a:tint val="6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>
              <a:shade val="6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3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4"/>
        <c:spPr>
          <a:solidFill>
            <a:schemeClr val="accent3">
              <a:tint val="6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'2'!$E$10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194-4FA3-8B2F-DE884E0A8ECE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194-4FA3-8B2F-DE884E0A8ECE}"/>
              </c:ext>
            </c:extLst>
          </c:dPt>
          <c:dPt>
            <c:idx val="2"/>
            <c:bubble3D val="0"/>
            <c:spPr>
              <a:solidFill>
                <a:schemeClr val="accent3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194-4FA3-8B2F-DE884E0A8EC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194-4FA3-8B2F-DE884E0A8EC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194-4FA3-8B2F-DE884E0A8EC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E194-4FA3-8B2F-DE884E0A8E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'2'!$D$11:$D$14</c:f>
              <c:strCache>
                <c:ptCount val="3"/>
                <c:pt idx="0">
                  <c:v>Completed</c:v>
                </c:pt>
                <c:pt idx="1">
                  <c:v>Dropped</c:v>
                </c:pt>
                <c:pt idx="2">
                  <c:v>In Progress</c:v>
                </c:pt>
              </c:strCache>
            </c:strRef>
          </c:cat>
          <c:val>
            <c:numRef>
              <c:f>'2'!$E$11:$E$14</c:f>
              <c:numCache>
                <c:formatCode>General</c:formatCode>
                <c:ptCount val="3"/>
                <c:pt idx="0">
                  <c:v>90</c:v>
                </c:pt>
                <c:pt idx="1">
                  <c:v>86</c:v>
                </c:pt>
                <c:pt idx="2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94-4FA3-8B2F-DE884E0A8E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831072870645245"/>
          <c:y val="0.6085441739718942"/>
          <c:w val="0.30969652248237767"/>
          <c:h val="0.303366716612657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[Online_Couse_ Dashboard.xlsx]5!PivotTable5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Revenue</a:t>
            </a:r>
            <a:r>
              <a:rPr lang="en-US" sz="1600" b="1" baseline="0"/>
              <a:t> Distribution by Student Status</a:t>
            </a:r>
            <a:endParaRPr lang="en-US" sz="1600" b="1"/>
          </a:p>
        </c:rich>
      </c:tx>
      <c:layout>
        <c:manualLayout>
          <c:xMode val="edge"/>
          <c:yMode val="edge"/>
          <c:x val="0.20009614562126837"/>
          <c:y val="0.142853154572269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3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>
              <a:shade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256821292137482E-2"/>
              <c:y val="-0.1171722480021670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230535271646173"/>
              <c:y val="7.03033488013002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tint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1840241556511025E-2"/>
              <c:y val="-0.135919807682513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'5'!$D$10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4F-44CC-AE23-044CD6F175D6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4F-44CC-AE23-044CD6F175D6}"/>
              </c:ext>
            </c:extLst>
          </c:dPt>
          <c:dPt>
            <c:idx val="2"/>
            <c:bubble3D val="0"/>
            <c:spPr>
              <a:solidFill>
                <a:schemeClr val="accent3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4F-44CC-AE23-044CD6F175D6}"/>
              </c:ext>
            </c:extLst>
          </c:dPt>
          <c:dLbls>
            <c:dLbl>
              <c:idx val="0"/>
              <c:layout>
                <c:manualLayout>
                  <c:x val="7.4256821292137482E-2"/>
                  <c:y val="-0.1171722480021670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54F-44CC-AE23-044CD6F175D6}"/>
                </c:ext>
              </c:extLst>
            </c:dLbl>
            <c:dLbl>
              <c:idx val="1"/>
              <c:layout>
                <c:manualLayout>
                  <c:x val="-0.12230535271646173"/>
                  <c:y val="7.0303348801300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54F-44CC-AE23-044CD6F175D6}"/>
                </c:ext>
              </c:extLst>
            </c:dLbl>
            <c:dLbl>
              <c:idx val="2"/>
              <c:layout>
                <c:manualLayout>
                  <c:x val="-2.1840241556511025E-2"/>
                  <c:y val="-0.135919807682513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54F-44CC-AE23-044CD6F175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'5'!$C$11:$C$14</c:f>
              <c:strCache>
                <c:ptCount val="3"/>
                <c:pt idx="0">
                  <c:v>Completed</c:v>
                </c:pt>
                <c:pt idx="1">
                  <c:v>Dropped</c:v>
                </c:pt>
                <c:pt idx="2">
                  <c:v>In Progress</c:v>
                </c:pt>
              </c:strCache>
            </c:strRef>
          </c:cat>
          <c:val>
            <c:numRef>
              <c:f>'5'!$D$11:$D$14</c:f>
              <c:numCache>
                <c:formatCode>General</c:formatCode>
                <c:ptCount val="3"/>
                <c:pt idx="0">
                  <c:v>796000</c:v>
                </c:pt>
                <c:pt idx="1">
                  <c:v>740000</c:v>
                </c:pt>
                <c:pt idx="2">
                  <c:v>605000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4F-44CC-AE23-044CD6F175D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[Online_Couse_ Dashboard.xlsx]4!PivotTable4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Monthly</a:t>
            </a:r>
            <a:r>
              <a:rPr lang="en-IN" sz="1600" b="1" baseline="0"/>
              <a:t> Enrollment Trend</a:t>
            </a:r>
            <a:endParaRPr lang="en-IN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3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'4'!$F$5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'4'!$E$6:$E$18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'4'!$F$6:$F$18</c:f>
              <c:numCache>
                <c:formatCode>General</c:formatCode>
                <c:ptCount val="12"/>
                <c:pt idx="0">
                  <c:v>16</c:v>
                </c:pt>
                <c:pt idx="1">
                  <c:v>22</c:v>
                </c:pt>
                <c:pt idx="2">
                  <c:v>25</c:v>
                </c:pt>
                <c:pt idx="3">
                  <c:v>13</c:v>
                </c:pt>
                <c:pt idx="4">
                  <c:v>28</c:v>
                </c:pt>
                <c:pt idx="5">
                  <c:v>20</c:v>
                </c:pt>
                <c:pt idx="6">
                  <c:v>12</c:v>
                </c:pt>
                <c:pt idx="7">
                  <c:v>28</c:v>
                </c:pt>
                <c:pt idx="8">
                  <c:v>16</c:v>
                </c:pt>
                <c:pt idx="9">
                  <c:v>24</c:v>
                </c:pt>
                <c:pt idx="10">
                  <c:v>18</c:v>
                </c:pt>
                <c:pt idx="1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57-4D59-BA6C-448219E25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6998303"/>
        <c:axId val="1077000703"/>
      </c:lineChart>
      <c:catAx>
        <c:axId val="107699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000703"/>
        <c:crosses val="autoZero"/>
        <c:auto val="1"/>
        <c:lblAlgn val="ctr"/>
        <c:lblOffset val="100"/>
        <c:noMultiLvlLbl val="0"/>
      </c:catAx>
      <c:valAx>
        <c:axId val="107700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99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[Online_Couse_ Dashboard.xlsx]3!PivotTable3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Instructor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'3'!$E$16:$E$17</c:f>
              <c:strCache>
                <c:ptCount val="1"/>
                <c:pt idx="0">
                  <c:v>Completed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65000"/>
                    <a:shade val="51000"/>
                    <a:satMod val="130000"/>
                  </a:schemeClr>
                </a:gs>
                <a:gs pos="80000">
                  <a:schemeClr val="accent3">
                    <a:shade val="65000"/>
                    <a:shade val="93000"/>
                    <a:satMod val="130000"/>
                  </a:schemeClr>
                </a:gs>
                <a:gs pos="100000">
                  <a:schemeClr val="accent3">
                    <a:shade val="65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'3'!$D$18:$D$23</c:f>
              <c:strCache>
                <c:ptCount val="5"/>
                <c:pt idx="0">
                  <c:v>Dr. Khan</c:v>
                </c:pt>
                <c:pt idx="1">
                  <c:v>Dr. Patel</c:v>
                </c:pt>
                <c:pt idx="2">
                  <c:v>Dr. Sharma</c:v>
                </c:pt>
                <c:pt idx="3">
                  <c:v>Prof. Iyer</c:v>
                </c:pt>
                <c:pt idx="4">
                  <c:v>Prof. Reddy</c:v>
                </c:pt>
              </c:strCache>
            </c:strRef>
          </c:cat>
          <c:val>
            <c:numRef>
              <c:f>'3'!$E$18:$E$23</c:f>
              <c:numCache>
                <c:formatCode>General</c:formatCode>
                <c:ptCount val="5"/>
                <c:pt idx="0">
                  <c:v>23</c:v>
                </c:pt>
                <c:pt idx="1">
                  <c:v>20</c:v>
                </c:pt>
                <c:pt idx="2">
                  <c:v>15</c:v>
                </c:pt>
                <c:pt idx="3">
                  <c:v>14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D-4B1F-9CB6-2B6FD95298C1}"/>
            </c:ext>
          </c:extLst>
        </c:ser>
        <c:ser>
          <c:idx val="1"/>
          <c:order val="1"/>
          <c:tx>
            <c:strRef>
              <c:f>'3'!$F$16:$F$17</c:f>
              <c:strCache>
                <c:ptCount val="1"/>
                <c:pt idx="0">
                  <c:v>Dropped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'3'!$D$18:$D$23</c:f>
              <c:strCache>
                <c:ptCount val="5"/>
                <c:pt idx="0">
                  <c:v>Dr. Khan</c:v>
                </c:pt>
                <c:pt idx="1">
                  <c:v>Dr. Patel</c:v>
                </c:pt>
                <c:pt idx="2">
                  <c:v>Dr. Sharma</c:v>
                </c:pt>
                <c:pt idx="3">
                  <c:v>Prof. Iyer</c:v>
                </c:pt>
                <c:pt idx="4">
                  <c:v>Prof. Reddy</c:v>
                </c:pt>
              </c:strCache>
            </c:strRef>
          </c:cat>
          <c:val>
            <c:numRef>
              <c:f>'3'!$F$18:$F$23</c:f>
              <c:numCache>
                <c:formatCode>General</c:formatCode>
                <c:ptCount val="5"/>
                <c:pt idx="0">
                  <c:v>20</c:v>
                </c:pt>
                <c:pt idx="1">
                  <c:v>14</c:v>
                </c:pt>
                <c:pt idx="2">
                  <c:v>18</c:v>
                </c:pt>
                <c:pt idx="3">
                  <c:v>19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9D-4B1F-9CB6-2B6FD95298C1}"/>
            </c:ext>
          </c:extLst>
        </c:ser>
        <c:ser>
          <c:idx val="2"/>
          <c:order val="2"/>
          <c:tx>
            <c:strRef>
              <c:f>'3'!$G$16:$G$17</c:f>
              <c:strCache>
                <c:ptCount val="1"/>
                <c:pt idx="0">
                  <c:v>In Progress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65000"/>
                    <a:shade val="51000"/>
                    <a:satMod val="130000"/>
                  </a:schemeClr>
                </a:gs>
                <a:gs pos="80000">
                  <a:schemeClr val="accent3">
                    <a:tint val="65000"/>
                    <a:shade val="93000"/>
                    <a:satMod val="130000"/>
                  </a:schemeClr>
                </a:gs>
                <a:gs pos="100000">
                  <a:schemeClr val="accent3">
                    <a:tint val="65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'3'!$D$18:$D$23</c:f>
              <c:strCache>
                <c:ptCount val="5"/>
                <c:pt idx="0">
                  <c:v>Dr. Khan</c:v>
                </c:pt>
                <c:pt idx="1">
                  <c:v>Dr. Patel</c:v>
                </c:pt>
                <c:pt idx="2">
                  <c:v>Dr. Sharma</c:v>
                </c:pt>
                <c:pt idx="3">
                  <c:v>Prof. Iyer</c:v>
                </c:pt>
                <c:pt idx="4">
                  <c:v>Prof. Reddy</c:v>
                </c:pt>
              </c:strCache>
            </c:strRef>
          </c:cat>
          <c:val>
            <c:numRef>
              <c:f>'3'!$G$18:$G$23</c:f>
              <c:numCache>
                <c:formatCode>General</c:formatCode>
                <c:ptCount val="5"/>
                <c:pt idx="0">
                  <c:v>14</c:v>
                </c:pt>
                <c:pt idx="1">
                  <c:v>16</c:v>
                </c:pt>
                <c:pt idx="2">
                  <c:v>11</c:v>
                </c:pt>
                <c:pt idx="3">
                  <c:v>14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9D-4B1F-9CB6-2B6FD9529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4329359"/>
        <c:axId val="1064331759"/>
      </c:barChart>
      <c:catAx>
        <c:axId val="1064329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331759"/>
        <c:crosses val="autoZero"/>
        <c:auto val="1"/>
        <c:lblAlgn val="ctr"/>
        <c:lblOffset val="100"/>
        <c:noMultiLvlLbl val="0"/>
      </c:catAx>
      <c:valAx>
        <c:axId val="1064331759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32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6</xdr:row>
      <xdr:rowOff>41910</xdr:rowOff>
    </xdr:from>
    <xdr:to>
      <xdr:col>10</xdr:col>
      <xdr:colOff>365760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24A9D9-51EB-2DBE-AEE1-E1E09326E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297180</xdr:colOff>
      <xdr:row>6</xdr:row>
      <xdr:rowOff>102870</xdr:rowOff>
    </xdr:from>
    <xdr:to>
      <xdr:col>12</xdr:col>
      <xdr:colOff>601980</xdr:colOff>
      <xdr:row>21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00B96E-DE52-77A6-89D8-A49DE1B29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0.32167</cdr:x>
      <cdr:y>0.04306</cdr:y>
    </cdr:from>
    <cdr:to>
      <cdr:x>0.83667</cdr:x>
      <cdr:y>0.12639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08AEE18-E380-6492-8B3C-82EE2BBD505F}"/>
            </a:ext>
          </a:extLst>
        </cdr:cNvPr>
        <cdr:cNvSpPr txBox="1"/>
      </cdr:nvSpPr>
      <cdr:spPr>
        <a:xfrm xmlns:a="http://schemas.openxmlformats.org/drawingml/2006/main">
          <a:off x="1470660" y="118110"/>
          <a:ext cx="235458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kern="1200"/>
            <a:t>Enrollment For Completed Status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259080</xdr:colOff>
      <xdr:row>1</xdr:row>
      <xdr:rowOff>80010</xdr:rowOff>
    </xdr:from>
    <xdr:to>
      <xdr:col>16</xdr:col>
      <xdr:colOff>563880</xdr:colOff>
      <xdr:row>16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4E2D72-FD07-2217-965E-6ACEEF1A0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541020</xdr:colOff>
      <xdr:row>2</xdr:row>
      <xdr:rowOff>80010</xdr:rowOff>
    </xdr:from>
    <xdr:to>
      <xdr:col>14</xdr:col>
      <xdr:colOff>236220</xdr:colOff>
      <xdr:row>17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D0AC52-EF7D-55CD-608D-E36018599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6</xdr:row>
      <xdr:rowOff>110490</xdr:rowOff>
    </xdr:from>
    <xdr:to>
      <xdr:col>12</xdr:col>
      <xdr:colOff>289560</xdr:colOff>
      <xdr:row>21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7B4BEB-5D00-A73F-8106-2D4157A72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205740</xdr:colOff>
      <xdr:row>6</xdr:row>
      <xdr:rowOff>11430</xdr:rowOff>
    </xdr:from>
    <xdr:to>
      <xdr:col>14</xdr:col>
      <xdr:colOff>510540</xdr:colOff>
      <xdr:row>21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E79158-EB0E-D680-EDC9-5E2FE08704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</xdr:row>
      <xdr:rowOff>15240</xdr:rowOff>
    </xdr:from>
    <xdr:to>
      <xdr:col>21</xdr:col>
      <xdr:colOff>601980</xdr:colOff>
      <xdr:row>3</xdr:row>
      <xdr:rowOff>167640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55A1C3-CDBB-BFDB-37D3-41A24E0AB278}"/>
            </a:ext>
          </a:extLst>
        </xdr:cNvPr>
        <xdr:cNvSpPr/>
      </xdr:nvSpPr>
      <xdr:spPr>
        <a:xfrm>
          <a:off x="624840" y="198120"/>
          <a:ext cx="12778740" cy="518160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7620</xdr:colOff>
      <xdr:row>6</xdr:row>
      <xdr:rowOff>7620</xdr:rowOff>
    </xdr:from>
    <xdr:to>
      <xdr:col>3</xdr:col>
      <xdr:colOff>434340</xdr:colOff>
      <xdr:row>11</xdr:row>
      <xdr:rowOff>7620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37F315F-C729-A7AA-C71F-855A01B85764}"/>
            </a:ext>
          </a:extLst>
        </xdr:cNvPr>
        <xdr:cNvSpPr/>
      </xdr:nvSpPr>
      <xdr:spPr>
        <a:xfrm>
          <a:off x="617220" y="1104900"/>
          <a:ext cx="1645920" cy="9144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ln>
              <a:noFill/>
            </a:ln>
            <a:noFill/>
          </a:endParaRPr>
        </a:p>
      </xdr:txBody>
    </xdr:sp>
    <xdr:clientData/>
  </xdr:twoCellAnchor>
  <xdr:twoCellAnchor>
    <xdr:from>
      <xdr:col>5</xdr:col>
      <xdr:colOff>327660</xdr:colOff>
      <xdr:row>6</xdr:row>
      <xdr:rowOff>22860</xdr:rowOff>
    </xdr:from>
    <xdr:to>
      <xdr:col>8</xdr:col>
      <xdr:colOff>144780</xdr:colOff>
      <xdr:row>11</xdr:row>
      <xdr:rowOff>22860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BB56868-2A6C-C4A1-99B4-2362765A1F1D}"/>
            </a:ext>
          </a:extLst>
        </xdr:cNvPr>
        <xdr:cNvSpPr/>
      </xdr:nvSpPr>
      <xdr:spPr>
        <a:xfrm>
          <a:off x="3375660" y="1120140"/>
          <a:ext cx="1645920" cy="9144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ln>
              <a:noFill/>
            </a:ln>
            <a:noFill/>
          </a:endParaRPr>
        </a:p>
      </xdr:txBody>
    </xdr:sp>
    <xdr:clientData/>
  </xdr:twoCellAnchor>
  <xdr:twoCellAnchor>
    <xdr:from>
      <xdr:col>10</xdr:col>
      <xdr:colOff>13091</xdr:colOff>
      <xdr:row>6</xdr:row>
      <xdr:rowOff>27158</xdr:rowOff>
    </xdr:from>
    <xdr:to>
      <xdr:col>12</xdr:col>
      <xdr:colOff>439811</xdr:colOff>
      <xdr:row>11</xdr:row>
      <xdr:rowOff>27158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BD490E7-9C48-0372-623E-F26624E1F77C}"/>
            </a:ext>
          </a:extLst>
        </xdr:cNvPr>
        <xdr:cNvSpPr/>
      </xdr:nvSpPr>
      <xdr:spPr>
        <a:xfrm>
          <a:off x="6070014" y="1140850"/>
          <a:ext cx="1638105" cy="928077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ln>
              <a:noFill/>
            </a:ln>
            <a:noFill/>
          </a:endParaRPr>
        </a:p>
      </xdr:txBody>
    </xdr:sp>
    <xdr:clientData/>
  </xdr:twoCellAnchor>
  <xdr:twoCellAnchor>
    <xdr:from>
      <xdr:col>14</xdr:col>
      <xdr:colOff>441765</xdr:colOff>
      <xdr:row>6</xdr:row>
      <xdr:rowOff>30872</xdr:rowOff>
    </xdr:from>
    <xdr:to>
      <xdr:col>17</xdr:col>
      <xdr:colOff>258885</xdr:colOff>
      <xdr:row>11</xdr:row>
      <xdr:rowOff>30872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CDE05BF-6991-67FD-B8B7-EA30A873F858}"/>
            </a:ext>
          </a:extLst>
        </xdr:cNvPr>
        <xdr:cNvSpPr/>
      </xdr:nvSpPr>
      <xdr:spPr>
        <a:xfrm>
          <a:off x="8921457" y="1144564"/>
          <a:ext cx="1634197" cy="928077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ln>
              <a:noFill/>
            </a:ln>
            <a:noFill/>
          </a:endParaRPr>
        </a:p>
      </xdr:txBody>
    </xdr:sp>
    <xdr:clientData/>
  </xdr:twoCellAnchor>
  <xdr:twoCellAnchor>
    <xdr:from>
      <xdr:col>1</xdr:col>
      <xdr:colOff>480060</xdr:colOff>
      <xdr:row>6</xdr:row>
      <xdr:rowOff>60960</xdr:rowOff>
    </xdr:from>
    <xdr:to>
      <xdr:col>3</xdr:col>
      <xdr:colOff>464820</xdr:colOff>
      <xdr:row>8</xdr:row>
      <xdr:rowOff>76200</xdr:rowOff>
    </xdr:to>
    <xdr:sp macro="" textlink="'KPI CARDS'!E29">
      <xdr:nvSpPr>
        <xdr:cNvPr id="7" name="TextBox 6">
          <a:extLst>
            <a:ext uri="{FF2B5EF4-FFF2-40B4-BE49-F238E27FC236}">
              <a16:creationId xmlns:a16="http://schemas.microsoft.com/office/drawing/2014/main" id="{B5B494B3-4BCD-F4F4-76A4-C34FEB0A6D97}"/>
            </a:ext>
          </a:extLst>
        </xdr:cNvPr>
        <xdr:cNvSpPr txBox="1"/>
      </xdr:nvSpPr>
      <xdr:spPr>
        <a:xfrm>
          <a:off x="1089660" y="1158240"/>
          <a:ext cx="120396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08D4D87-3387-4EF3-83A3-2607881D01DC}" type="TxLink">
            <a:rPr lang="en-US" sz="2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250</a:t>
          </a:fld>
          <a:endParaRPr lang="en-IN" sz="2800" b="0"/>
        </a:p>
      </xdr:txBody>
    </xdr:sp>
    <xdr:clientData/>
  </xdr:twoCellAnchor>
  <xdr:twoCellAnchor>
    <xdr:from>
      <xdr:col>1</xdr:col>
      <xdr:colOff>251460</xdr:colOff>
      <xdr:row>8</xdr:row>
      <xdr:rowOff>114300</xdr:rowOff>
    </xdr:from>
    <xdr:to>
      <xdr:col>3</xdr:col>
      <xdr:colOff>350520</xdr:colOff>
      <xdr:row>10</xdr:row>
      <xdr:rowOff>60960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218C2D7-ABCE-3E5B-D590-1DC9FF1B8956}"/>
            </a:ext>
          </a:extLst>
        </xdr:cNvPr>
        <xdr:cNvSpPr txBox="1"/>
      </xdr:nvSpPr>
      <xdr:spPr>
        <a:xfrm>
          <a:off x="861060" y="1577340"/>
          <a:ext cx="131826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Total</a:t>
          </a:r>
          <a:r>
            <a:rPr lang="en-IN" sz="1100"/>
            <a:t> </a:t>
          </a:r>
          <a:r>
            <a:rPr lang="en-IN" sz="1200"/>
            <a:t>Enrollments</a:t>
          </a:r>
        </a:p>
      </xdr:txBody>
    </xdr:sp>
    <xdr:clientData/>
  </xdr:twoCellAnchor>
  <xdr:twoCellAnchor>
    <xdr:from>
      <xdr:col>6</xdr:col>
      <xdr:colOff>182880</xdr:colOff>
      <xdr:row>6</xdr:row>
      <xdr:rowOff>68580</xdr:rowOff>
    </xdr:from>
    <xdr:to>
      <xdr:col>7</xdr:col>
      <xdr:colOff>594360</xdr:colOff>
      <xdr:row>8</xdr:row>
      <xdr:rowOff>121920</xdr:rowOff>
    </xdr:to>
    <xdr:sp macro="" textlink="'KPI CARDS'!G29">
      <xdr:nvSpPr>
        <xdr:cNvPr id="10" name="TextBox 9">
          <a:extLst>
            <a:ext uri="{FF2B5EF4-FFF2-40B4-BE49-F238E27FC236}">
              <a16:creationId xmlns:a16="http://schemas.microsoft.com/office/drawing/2014/main" id="{A8884F98-ED25-7761-4B03-DBD6E7C4E88C}"/>
            </a:ext>
          </a:extLst>
        </xdr:cNvPr>
        <xdr:cNvSpPr txBox="1"/>
      </xdr:nvSpPr>
      <xdr:spPr>
        <a:xfrm>
          <a:off x="3840480" y="1165860"/>
          <a:ext cx="102108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466FBA8-C1AB-4F51-A528-69887CFE1B69}" type="TxLink">
            <a:rPr lang="en-US" sz="2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36%</a:t>
          </a:fld>
          <a:endParaRPr lang="en-IN" sz="2800"/>
        </a:p>
      </xdr:txBody>
    </xdr:sp>
    <xdr:clientData/>
  </xdr:twoCellAnchor>
  <xdr:twoCellAnchor>
    <xdr:from>
      <xdr:col>5</xdr:col>
      <xdr:colOff>563880</xdr:colOff>
      <xdr:row>8</xdr:row>
      <xdr:rowOff>99060</xdr:rowOff>
    </xdr:from>
    <xdr:to>
      <xdr:col>8</xdr:col>
      <xdr:colOff>7620</xdr:colOff>
      <xdr:row>9</xdr:row>
      <xdr:rowOff>144780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AC76501-BFA1-CFCB-67FA-E7887016A4EC}"/>
            </a:ext>
          </a:extLst>
        </xdr:cNvPr>
        <xdr:cNvSpPr txBox="1"/>
      </xdr:nvSpPr>
      <xdr:spPr>
        <a:xfrm>
          <a:off x="3611880" y="1562100"/>
          <a:ext cx="127254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Completion</a:t>
          </a:r>
          <a:r>
            <a:rPr lang="en-IN" sz="1200" baseline="0"/>
            <a:t> Rate</a:t>
          </a:r>
          <a:endParaRPr lang="en-IN" sz="1200"/>
        </a:p>
      </xdr:txBody>
    </xdr:sp>
    <xdr:clientData/>
  </xdr:twoCellAnchor>
  <xdr:oneCellAnchor>
    <xdr:from>
      <xdr:col>12</xdr:col>
      <xdr:colOff>563880</xdr:colOff>
      <xdr:row>12</xdr:row>
      <xdr:rowOff>144780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CD7ABC6-525F-8662-E492-A52A997D7386}"/>
            </a:ext>
          </a:extLst>
        </xdr:cNvPr>
        <xdr:cNvSpPr txBox="1"/>
      </xdr:nvSpPr>
      <xdr:spPr>
        <a:xfrm>
          <a:off x="7879080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10</xdr:col>
      <xdr:colOff>495300</xdr:colOff>
      <xdr:row>6</xdr:row>
      <xdr:rowOff>109806</xdr:rowOff>
    </xdr:from>
    <xdr:to>
      <xdr:col>12</xdr:col>
      <xdr:colOff>426720</xdr:colOff>
      <xdr:row>9</xdr:row>
      <xdr:rowOff>23251</xdr:rowOff>
    </xdr:to>
    <xdr:sp macro="" textlink="'KPI CARDS'!J29">
      <xdr:nvSpPr>
        <xdr:cNvPr id="14" name="TextBox 13">
          <a:extLst>
            <a:ext uri="{FF2B5EF4-FFF2-40B4-BE49-F238E27FC236}">
              <a16:creationId xmlns:a16="http://schemas.microsoft.com/office/drawing/2014/main" id="{BD858E33-EAB4-7AB3-F753-41202FFE3201}"/>
            </a:ext>
          </a:extLst>
        </xdr:cNvPr>
        <xdr:cNvSpPr txBox="1"/>
      </xdr:nvSpPr>
      <xdr:spPr>
        <a:xfrm>
          <a:off x="6552223" y="1223498"/>
          <a:ext cx="1142805" cy="4702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C2A8FF7-DE84-458C-8E53-34972D4096EC}" type="TxLink">
            <a:rPr lang="en-US" sz="2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34%</a:t>
          </a:fld>
          <a:endParaRPr lang="en-IN" sz="2800"/>
        </a:p>
      </xdr:txBody>
    </xdr:sp>
    <xdr:clientData/>
  </xdr:twoCellAnchor>
  <xdr:twoCellAnchor>
    <xdr:from>
      <xdr:col>10</xdr:col>
      <xdr:colOff>340751</xdr:colOff>
      <xdr:row>8</xdr:row>
      <xdr:rowOff>122897</xdr:rowOff>
    </xdr:from>
    <xdr:to>
      <xdr:col>12</xdr:col>
      <xdr:colOff>394091</xdr:colOff>
      <xdr:row>9</xdr:row>
      <xdr:rowOff>168617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B3B99B7-7E78-E491-C7BC-108A58D3D1B1}"/>
            </a:ext>
          </a:extLst>
        </xdr:cNvPr>
        <xdr:cNvSpPr txBox="1"/>
      </xdr:nvSpPr>
      <xdr:spPr>
        <a:xfrm>
          <a:off x="6397674" y="1607820"/>
          <a:ext cx="1264725" cy="231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aseline="0"/>
            <a:t>Dropped Rate</a:t>
          </a:r>
          <a:endParaRPr lang="en-IN" sz="1200"/>
        </a:p>
      </xdr:txBody>
    </xdr:sp>
    <xdr:clientData/>
  </xdr:twoCellAnchor>
  <xdr:twoCellAnchor>
    <xdr:from>
      <xdr:col>19</xdr:col>
      <xdr:colOff>138332</xdr:colOff>
      <xdr:row>6</xdr:row>
      <xdr:rowOff>29308</xdr:rowOff>
    </xdr:from>
    <xdr:to>
      <xdr:col>21</xdr:col>
      <xdr:colOff>565052</xdr:colOff>
      <xdr:row>11</xdr:row>
      <xdr:rowOff>29308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7DDBCAF-A887-7643-E502-B7F4AD9DA161}"/>
            </a:ext>
          </a:extLst>
        </xdr:cNvPr>
        <xdr:cNvSpPr/>
      </xdr:nvSpPr>
      <xdr:spPr>
        <a:xfrm>
          <a:off x="11646486" y="1143000"/>
          <a:ext cx="1638104" cy="928077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ln>
              <a:noFill/>
            </a:ln>
            <a:noFill/>
          </a:endParaRPr>
        </a:p>
      </xdr:txBody>
    </xdr:sp>
    <xdr:clientData/>
  </xdr:twoCellAnchor>
  <xdr:twoCellAnchor>
    <xdr:from>
      <xdr:col>15</xdr:col>
      <xdr:colOff>296008</xdr:colOff>
      <xdr:row>6</xdr:row>
      <xdr:rowOff>77177</xdr:rowOff>
    </xdr:from>
    <xdr:to>
      <xdr:col>17</xdr:col>
      <xdr:colOff>280768</xdr:colOff>
      <xdr:row>8</xdr:row>
      <xdr:rowOff>122897</xdr:rowOff>
    </xdr:to>
    <xdr:sp macro="" textlink="'KPI CARDS'!N29">
      <xdr:nvSpPr>
        <xdr:cNvPr id="17" name="TextBox 16">
          <a:extLst>
            <a:ext uri="{FF2B5EF4-FFF2-40B4-BE49-F238E27FC236}">
              <a16:creationId xmlns:a16="http://schemas.microsoft.com/office/drawing/2014/main" id="{54348ABF-F409-183E-4958-66D60285ADBC}"/>
            </a:ext>
          </a:extLst>
        </xdr:cNvPr>
        <xdr:cNvSpPr txBox="1"/>
      </xdr:nvSpPr>
      <xdr:spPr>
        <a:xfrm>
          <a:off x="9381393" y="1190869"/>
          <a:ext cx="1196144" cy="4169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473C017-717F-40D8-B8D5-6E7E3A42F1E1}" type="TxLink">
            <a:rPr lang="en-US" sz="2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30%</a:t>
          </a:fld>
          <a:endParaRPr lang="en-IN" sz="2800"/>
        </a:p>
      </xdr:txBody>
    </xdr:sp>
    <xdr:clientData/>
  </xdr:twoCellAnchor>
  <xdr:twoCellAnchor>
    <xdr:from>
      <xdr:col>15</xdr:col>
      <xdr:colOff>90268</xdr:colOff>
      <xdr:row>8</xdr:row>
      <xdr:rowOff>115277</xdr:rowOff>
    </xdr:from>
    <xdr:to>
      <xdr:col>17</xdr:col>
      <xdr:colOff>143608</xdr:colOff>
      <xdr:row>9</xdr:row>
      <xdr:rowOff>160997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679A9A2-0C1B-6452-14A1-116E6F2A9BA1}"/>
            </a:ext>
          </a:extLst>
        </xdr:cNvPr>
        <xdr:cNvSpPr txBox="1"/>
      </xdr:nvSpPr>
      <xdr:spPr>
        <a:xfrm>
          <a:off x="9175653" y="1600200"/>
          <a:ext cx="1264724" cy="231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aseline="0"/>
            <a:t>In Progress Rate</a:t>
          </a:r>
          <a:endParaRPr lang="en-IN" sz="1200"/>
        </a:p>
      </xdr:txBody>
    </xdr:sp>
    <xdr:clientData/>
  </xdr:twoCellAnchor>
  <xdr:twoCellAnchor>
    <xdr:from>
      <xdr:col>19</xdr:col>
      <xdr:colOff>426720</xdr:colOff>
      <xdr:row>6</xdr:row>
      <xdr:rowOff>7620</xdr:rowOff>
    </xdr:from>
    <xdr:to>
      <xdr:col>22</xdr:col>
      <xdr:colOff>419100</xdr:colOff>
      <xdr:row>8</xdr:row>
      <xdr:rowOff>167640</xdr:rowOff>
    </xdr:to>
    <xdr:sp macro="" textlink="'KPI CARDS'!L29">
      <xdr:nvSpPr>
        <xdr:cNvPr id="19" name="TextBox 18">
          <a:extLst>
            <a:ext uri="{FF2B5EF4-FFF2-40B4-BE49-F238E27FC236}">
              <a16:creationId xmlns:a16="http://schemas.microsoft.com/office/drawing/2014/main" id="{284AA2F0-4231-21E9-02B2-8A06B6BD5DB5}"/>
            </a:ext>
          </a:extLst>
        </xdr:cNvPr>
        <xdr:cNvSpPr txBox="1"/>
      </xdr:nvSpPr>
      <xdr:spPr>
        <a:xfrm>
          <a:off x="12009120" y="1104900"/>
          <a:ext cx="1821180" cy="525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58AEC88-0D46-4215-BB92-81A4DFF87750}" type="TxLink">
            <a:rPr lang="en-US" sz="2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$0.8M</a:t>
          </a:fld>
          <a:endParaRPr lang="en-IN" sz="2800"/>
        </a:p>
      </xdr:txBody>
    </xdr:sp>
    <xdr:clientData/>
  </xdr:twoCellAnchor>
  <xdr:twoCellAnchor>
    <xdr:from>
      <xdr:col>19</xdr:col>
      <xdr:colOff>464820</xdr:colOff>
      <xdr:row>8</xdr:row>
      <xdr:rowOff>30480</xdr:rowOff>
    </xdr:from>
    <xdr:to>
      <xdr:col>21</xdr:col>
      <xdr:colOff>518160</xdr:colOff>
      <xdr:row>9</xdr:row>
      <xdr:rowOff>76200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647DB25-672E-247A-84DF-7C45E53ACDEB}"/>
            </a:ext>
          </a:extLst>
        </xdr:cNvPr>
        <xdr:cNvSpPr txBox="1"/>
      </xdr:nvSpPr>
      <xdr:spPr>
        <a:xfrm>
          <a:off x="12047220" y="1493520"/>
          <a:ext cx="127254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aseline="0"/>
            <a:t>Total Revenue</a:t>
          </a:r>
          <a:endParaRPr lang="en-IN" sz="1200"/>
        </a:p>
      </xdr:txBody>
    </xdr:sp>
    <xdr:clientData/>
  </xdr:twoCellAnchor>
  <xdr:twoCellAnchor>
    <xdr:from>
      <xdr:col>19</xdr:col>
      <xdr:colOff>419100</xdr:colOff>
      <xdr:row>9</xdr:row>
      <xdr:rowOff>7620</xdr:rowOff>
    </xdr:from>
    <xdr:to>
      <xdr:col>22</xdr:col>
      <xdr:colOff>30480</xdr:colOff>
      <xdr:row>10</xdr:row>
      <xdr:rowOff>114300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A5236AB-196E-7976-044E-5B1448D06B4F}"/>
            </a:ext>
          </a:extLst>
        </xdr:cNvPr>
        <xdr:cNvSpPr txBox="1"/>
      </xdr:nvSpPr>
      <xdr:spPr>
        <a:xfrm>
          <a:off x="12001500" y="1653540"/>
          <a:ext cx="144018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aseline="0"/>
            <a:t>(Completed Only)</a:t>
          </a:r>
          <a:endParaRPr lang="en-IN" sz="1100"/>
        </a:p>
      </xdr:txBody>
    </xdr:sp>
    <xdr:clientData/>
  </xdr:twoCellAnchor>
  <xdr:twoCellAnchor>
    <xdr:from>
      <xdr:col>1</xdr:col>
      <xdr:colOff>5833</xdr:colOff>
      <xdr:row>14</xdr:row>
      <xdr:rowOff>18815</xdr:rowOff>
    </xdr:from>
    <xdr:to>
      <xdr:col>8</xdr:col>
      <xdr:colOff>135373</xdr:colOff>
      <xdr:row>28</xdr:row>
      <xdr:rowOff>172061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F1050727-DA4B-4819-B450-82AB3CE12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</xdr:colOff>
      <xdr:row>13</xdr:row>
      <xdr:rowOff>175260</xdr:rowOff>
    </xdr:from>
    <xdr:to>
      <xdr:col>16</xdr:col>
      <xdr:colOff>0</xdr:colOff>
      <xdr:row>28</xdr:row>
      <xdr:rowOff>175260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15EC57D3-100C-4637-99E0-32B0213410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197556</xdr:colOff>
      <xdr:row>14</xdr:row>
      <xdr:rowOff>1</xdr:rowOff>
    </xdr:from>
    <xdr:to>
      <xdr:col>22</xdr:col>
      <xdr:colOff>47625</xdr:colOff>
      <xdr:row>29</xdr:row>
      <xdr:rowOff>28576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5FCD84FD-E14A-4F92-A456-99933AC6CC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8659</xdr:colOff>
      <xdr:row>30</xdr:row>
      <xdr:rowOff>173182</xdr:rowOff>
    </xdr:from>
    <xdr:to>
      <xdr:col>8</xdr:col>
      <xdr:colOff>177800</xdr:colOff>
      <xdr:row>46</xdr:row>
      <xdr:rowOff>6927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F7D9A523-DFAB-4C63-900F-07C9C3800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25400</xdr:colOff>
      <xdr:row>30</xdr:row>
      <xdr:rowOff>171062</xdr:rowOff>
    </xdr:from>
    <xdr:to>
      <xdr:col>22</xdr:col>
      <xdr:colOff>38877</xdr:colOff>
      <xdr:row>46</xdr:row>
      <xdr:rowOff>18879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C5C922B-1406-43AE-B824-EC282D6DC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359507</xdr:colOff>
      <xdr:row>1</xdr:row>
      <xdr:rowOff>10746</xdr:rowOff>
    </xdr:from>
    <xdr:to>
      <xdr:col>19</xdr:col>
      <xdr:colOff>448407</xdr:colOff>
      <xdr:row>3</xdr:row>
      <xdr:rowOff>86946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7FAC0E1-9502-73B6-0902-CC3C03C7F467}"/>
            </a:ext>
          </a:extLst>
        </xdr:cNvPr>
        <xdr:cNvSpPr txBox="1"/>
      </xdr:nvSpPr>
      <xdr:spPr>
        <a:xfrm>
          <a:off x="5283199" y="186592"/>
          <a:ext cx="6858977" cy="4278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2400" b="1" i="1">
              <a:solidFill>
                <a:schemeClr val="tx1"/>
              </a:solidFill>
            </a:rPr>
            <a:t>Online Course Dashboard</a:t>
          </a: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0.23173</cdr:x>
      <cdr:y>0.11704</cdr:y>
    </cdr:from>
    <cdr:to>
      <cdr:x>0.81294</cdr:x>
      <cdr:y>0.2098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E349BC45-611F-3904-0C0E-651E00BAAA0F}"/>
            </a:ext>
          </a:extLst>
        </cdr:cNvPr>
        <cdr:cNvSpPr txBox="1"/>
      </cdr:nvSpPr>
      <cdr:spPr>
        <a:xfrm xmlns:a="http://schemas.openxmlformats.org/drawingml/2006/main">
          <a:off x="843550" y="327336"/>
          <a:ext cx="2115766" cy="2594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400" b="1" kern="12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uthisri" refreshedDate="45907.569377083331" createdVersion="8" refreshedVersion="8" minRefreshableVersion="3" recordCount="250" xr:uid="{A0BD037E-09C2-4E9A-9177-B73CC590827F}">
  <cacheSource type="worksheet">
    <worksheetSource name="Online"/>
  </cacheSource>
  <cacheFields count="11">
    <cacheField name="StudentID" numFmtId="0">
      <sharedItems count="214">
        <s v="S1654"/>
        <s v="S1089"/>
        <s v="S1616"/>
        <s v="S1777"/>
        <s v="S1094"/>
        <s v="S1747"/>
        <s v="S1906"/>
        <s v="S1081"/>
        <s v="S1379"/>
        <s v="S1650"/>
        <s v="S1224"/>
        <s v="S1067"/>
        <s v="S1146"/>
        <s v="S1438"/>
        <s v="S1881"/>
        <s v="S1390"/>
        <s v="S1787"/>
        <s v="S1995"/>
        <s v="S1382"/>
        <s v="S1245"/>
        <s v="S1778"/>
        <s v="S1540"/>
        <s v="S1408"/>
        <s v="S1021"/>
        <s v="S1927"/>
        <s v="S1552"/>
        <s v="S1099"/>
        <s v="S1062"/>
        <s v="S1143"/>
        <s v="S1100"/>
        <s v="S1218"/>
        <s v="S1292"/>
        <s v="S1593"/>
        <s v="S1161"/>
        <s v="S1413"/>
        <s v="S1535"/>
        <s v="S1271"/>
        <s v="S1469"/>
        <s v="S1902"/>
        <s v="S1626"/>
        <s v="S1911"/>
        <s v="S1208"/>
        <s v="S1003"/>
        <s v="S1722"/>
        <s v="S1036"/>
        <s v="S1920"/>
        <s v="S1997"/>
        <s v="S1754"/>
        <s v="S1879"/>
        <s v="S1228"/>
        <s v="S1359"/>
        <s v="S1985"/>
        <s v="S1446"/>
        <s v="S1001"/>
        <s v="S1679"/>
        <s v="S1713"/>
        <s v="S1630"/>
        <s v="S1440"/>
        <s v="S1484"/>
        <s v="S1838"/>
        <s v="S1486"/>
        <s v="S1506"/>
        <s v="S1797"/>
        <s v="S1570"/>
        <s v="S1627"/>
        <s v="S1265"/>
        <s v="S1730"/>
        <s v="S1154"/>
        <s v="S1338"/>
        <s v="S1968"/>
        <s v="S1873"/>
        <s v="S1029"/>
        <s v="S1546"/>
        <s v="S1887"/>
        <s v="S1465"/>
        <s v="S1481"/>
        <s v="S1772"/>
        <s v="S1129"/>
        <s v="S1171"/>
        <s v="S1693"/>
        <s v="S1070"/>
        <s v="S1983"/>
        <s v="S1793"/>
        <s v="S1850"/>
        <s v="S1286"/>
        <s v="S1500"/>
        <s v="S1811"/>
        <s v="S1763"/>
        <s v="S1257"/>
        <s v="S1756"/>
        <s v="S1183"/>
        <s v="S1714"/>
        <s v="S1490"/>
        <s v="S1841"/>
        <s v="S1152"/>
        <s v="S1809"/>
        <s v="S1439"/>
        <s v="S1676"/>
        <s v="S1002"/>
        <s v="S1719"/>
        <s v="S1117"/>
        <s v="S1965"/>
        <s v="S1752"/>
        <s v="S1041"/>
        <s v="S1337"/>
        <s v="S1090"/>
        <s v="S1473"/>
        <s v="S1124"/>
        <s v="S1417"/>
        <s v="S1521"/>
        <s v="S1392"/>
        <s v="S1273"/>
        <s v="S1457"/>
        <s v="S1955"/>
        <s v="S1044"/>
        <s v="S1987"/>
        <s v="S1932"/>
        <s v="S1480"/>
        <s v="S1977"/>
        <s v="S1764"/>
        <s v="S1170"/>
        <s v="S1441"/>
        <s v="S1179"/>
        <s v="S1472"/>
        <s v="S1467"/>
        <s v="S1367"/>
        <s v="S1008"/>
        <s v="S1635"/>
        <s v="S1807"/>
        <s v="S1263"/>
        <s v="S1549"/>
        <s v="S1663"/>
        <s v="S1046"/>
        <s v="S1397"/>
        <s v="S1670"/>
        <s v="S1455"/>
        <s v="S1407"/>
        <s v="S1051"/>
        <s v="S1600"/>
        <s v="S1366"/>
        <s v="S1759"/>
        <s v="S1607"/>
        <s v="S1561"/>
        <s v="S1812"/>
        <s v="S1976"/>
        <s v="S1762"/>
        <s v="S1420"/>
        <s v="S1106"/>
        <s v="S1358"/>
        <s v="S1865"/>
        <s v="S1145"/>
        <s v="S1159"/>
        <s v="S1621"/>
        <s v="S1225"/>
        <s v="S1782"/>
        <s v="S1132"/>
        <s v="S1019"/>
        <s v="S1296"/>
        <s v="S1447"/>
        <s v="S1891"/>
        <s v="S1543"/>
        <s v="S1105"/>
        <s v="S1181"/>
        <s v="S1605"/>
        <s v="S1058"/>
        <s v="S1567"/>
        <s v="S1661"/>
        <s v="S1694"/>
        <s v="S1083"/>
        <s v="S1609"/>
        <s v="S1095"/>
        <s v="S1349"/>
        <s v="S1519"/>
        <s v="S1185"/>
        <s v="S1992"/>
        <s v="S1988"/>
        <s v="S1656"/>
        <s v="S1085"/>
        <s v="S1836"/>
        <s v="S1241"/>
        <s v="S1810"/>
        <s v="S1459"/>
        <s v="S1244"/>
        <s v="S1588"/>
        <s v="S1426"/>
        <s v="S1894"/>
        <s v="S1206"/>
        <s v="S1279"/>
        <s v="S1347"/>
        <s v="S1744"/>
        <s v="S1706"/>
        <s v="S1445"/>
        <s v="S1525"/>
        <s v="S1157"/>
        <s v="S1396"/>
        <s v="S1555"/>
        <s v="S1520"/>
        <s v="S1460"/>
        <s v="S1443"/>
        <s v="S1330"/>
        <s v="S1281"/>
        <s v="S1964"/>
        <s v="S1042"/>
        <s v="S1785"/>
        <s v="S1494"/>
        <s v="S1425"/>
        <s v="S1882"/>
        <s v="S1247"/>
        <s v="S1297"/>
        <s v="S1781"/>
        <s v="S1092"/>
        <s v="S1052"/>
        <s v="S1516"/>
        <s v="S1571"/>
      </sharedItems>
    </cacheField>
    <cacheField name="StudentName" numFmtId="0">
      <sharedItems/>
    </cacheField>
    <cacheField name="CourseID" numFmtId="0">
      <sharedItems/>
    </cacheField>
    <cacheField name="CourseName" numFmtId="0">
      <sharedItems count="8">
        <s v="Machine Learning"/>
        <s v="Python Basics"/>
        <s v="Statistics 101"/>
        <s v="Data Visualization"/>
        <s v="Excel Mastery"/>
        <s v="SQL for Data"/>
        <s v="Power BI"/>
        <s v="Business Analytics"/>
      </sharedItems>
    </cacheField>
    <cacheField name="EnrollmentDate" numFmtId="14">
      <sharedItems containsSemiMixedTypes="0" containsNonDate="0" containsDate="1" containsString="0" minDate="2023-01-04T00:00:00" maxDate="2024-01-01T00:00:00" count="172">
        <d v="2023-05-06T00:00:00"/>
        <d v="2023-01-16T00:00:00"/>
        <d v="2023-04-23T00:00:00"/>
        <d v="2023-05-23T00:00:00"/>
        <d v="2023-06-26T00:00:00"/>
        <d v="2023-02-10T00:00:00"/>
        <d v="2023-01-24T00:00:00"/>
        <d v="2023-12-26T00:00:00"/>
        <d v="2023-08-25T00:00:00"/>
        <d v="2023-01-17T00:00:00"/>
        <d v="2023-12-02T00:00:00"/>
        <d v="2023-10-15T00:00:00"/>
        <d v="2023-12-15T00:00:00"/>
        <d v="2023-10-11T00:00:00"/>
        <d v="2023-08-11T00:00:00"/>
        <d v="2023-11-17T00:00:00"/>
        <d v="2023-09-08T00:00:00"/>
        <d v="2023-02-13T00:00:00"/>
        <d v="2023-12-04T00:00:00"/>
        <d v="2023-10-04T00:00:00"/>
        <d v="2023-03-03T00:00:00"/>
        <d v="2023-01-04T00:00:00"/>
        <d v="2023-09-21T00:00:00"/>
        <d v="2023-08-31T00:00:00"/>
        <d v="2023-07-30T00:00:00"/>
        <d v="2023-05-08T00:00:00"/>
        <d v="2023-05-02T00:00:00"/>
        <d v="2023-07-14T00:00:00"/>
        <d v="2023-04-08T00:00:00"/>
        <d v="2023-01-30T00:00:00"/>
        <d v="2023-02-05T00:00:00"/>
        <d v="2023-11-14T00:00:00"/>
        <d v="2023-12-09T00:00:00"/>
        <d v="2023-08-23T00:00:00"/>
        <d v="2023-10-03T00:00:00"/>
        <d v="2023-05-26T00:00:00"/>
        <d v="2023-12-06T00:00:00"/>
        <d v="2023-05-25T00:00:00"/>
        <d v="2023-01-27T00:00:00"/>
        <d v="2023-03-24T00:00:00"/>
        <d v="2023-02-08T00:00:00"/>
        <d v="2023-03-07T00:00:00"/>
        <d v="2023-12-08T00:00:00"/>
        <d v="2023-03-25T00:00:00"/>
        <d v="2023-05-17T00:00:00"/>
        <d v="2023-08-24T00:00:00"/>
        <d v="2023-06-18T00:00:00"/>
        <d v="2023-01-15T00:00:00"/>
        <d v="2023-11-02T00:00:00"/>
        <d v="2023-10-23T00:00:00"/>
        <d v="2023-08-09T00:00:00"/>
        <d v="2023-08-04T00:00:00"/>
        <d v="2023-10-08T00:00:00"/>
        <d v="2023-08-15T00:00:00"/>
        <d v="2023-04-12T00:00:00"/>
        <d v="2023-08-01T00:00:00"/>
        <d v="2023-12-23T00:00:00"/>
        <d v="2023-03-10T00:00:00"/>
        <d v="2023-03-23T00:00:00"/>
        <d v="2023-06-21T00:00:00"/>
        <d v="2023-12-28T00:00:00"/>
        <d v="2023-02-01T00:00:00"/>
        <d v="2023-03-26T00:00:00"/>
        <d v="2023-02-12T00:00:00"/>
        <d v="2023-05-14T00:00:00"/>
        <d v="2023-04-25T00:00:00"/>
        <d v="2023-01-11T00:00:00"/>
        <d v="2023-08-27T00:00:00"/>
        <d v="2023-06-09T00:00:00"/>
        <d v="2023-06-27T00:00:00"/>
        <d v="2023-10-31T00:00:00"/>
        <d v="2023-05-05T00:00:00"/>
        <d v="2023-09-07T00:00:00"/>
        <d v="2023-09-22T00:00:00"/>
        <d v="2023-11-27T00:00:00"/>
        <d v="2023-04-24T00:00:00"/>
        <d v="2023-06-11T00:00:00"/>
        <d v="2023-02-21T00:00:00"/>
        <d v="2023-05-21T00:00:00"/>
        <d v="2023-01-07T00:00:00"/>
        <d v="2023-02-07T00:00:00"/>
        <d v="2023-08-19T00:00:00"/>
        <d v="2023-04-17T00:00:00"/>
        <d v="2023-03-30T00:00:00"/>
        <d v="2023-05-30T00:00:00"/>
        <d v="2023-05-16T00:00:00"/>
        <d v="2023-03-05T00:00:00"/>
        <d v="2023-02-11T00:00:00"/>
        <d v="2023-02-16T00:00:00"/>
        <d v="2023-06-14T00:00:00"/>
        <d v="2023-03-01T00:00:00"/>
        <d v="2023-09-23T00:00:00"/>
        <d v="2023-10-09T00:00:00"/>
        <d v="2023-08-30T00:00:00"/>
        <d v="2023-05-22T00:00:00"/>
        <d v="2023-10-28T00:00:00"/>
        <d v="2023-06-20T00:00:00"/>
        <d v="2023-10-20T00:00:00"/>
        <d v="2023-07-17T00:00:00"/>
        <d v="2023-07-29T00:00:00"/>
        <d v="2023-11-29T00:00:00"/>
        <d v="2023-11-13T00:00:00"/>
        <d v="2023-11-21T00:00:00"/>
        <d v="2023-06-16T00:00:00"/>
        <d v="2023-10-17T00:00:00"/>
        <d v="2023-09-12T00:00:00"/>
        <d v="2023-09-05T00:00:00"/>
        <d v="2023-01-12T00:00:00"/>
        <d v="2023-05-27T00:00:00"/>
        <d v="2023-11-18T00:00:00"/>
        <d v="2023-03-09T00:00:00"/>
        <d v="2023-09-29T00:00:00"/>
        <d v="2023-02-28T00:00:00"/>
        <d v="2023-12-11T00:00:00"/>
        <d v="2023-05-24T00:00:00"/>
        <d v="2023-12-18T00:00:00"/>
        <d v="2023-08-21T00:00:00"/>
        <d v="2023-03-17T00:00:00"/>
        <d v="2023-03-31T00:00:00"/>
        <d v="2023-09-01T00:00:00"/>
        <d v="2023-11-11T00:00:00"/>
        <d v="2023-02-03T00:00:00"/>
        <d v="2023-08-20T00:00:00"/>
        <d v="2023-08-07T00:00:00"/>
        <d v="2023-05-28T00:00:00"/>
        <d v="2023-12-03T00:00:00"/>
        <d v="2023-07-12T00:00:00"/>
        <d v="2023-10-18T00:00:00"/>
        <d v="2023-05-20T00:00:00"/>
        <d v="2023-04-21T00:00:00"/>
        <d v="2023-09-27T00:00:00"/>
        <d v="2023-04-15T00:00:00"/>
        <d v="2023-02-06T00:00:00"/>
        <d v="2023-10-22T00:00:00"/>
        <d v="2023-10-29T00:00:00"/>
        <d v="2023-06-29T00:00:00"/>
        <d v="2023-06-08T00:00:00"/>
        <d v="2023-06-25T00:00:00"/>
        <d v="2023-12-29T00:00:00"/>
        <d v="2023-07-10T00:00:00"/>
        <d v="2023-11-26T00:00:00"/>
        <d v="2023-07-05T00:00:00"/>
        <d v="2023-03-12T00:00:00"/>
        <d v="2023-01-23T00:00:00"/>
        <d v="2023-04-30T00:00:00"/>
        <d v="2023-12-14T00:00:00"/>
        <d v="2023-12-31T00:00:00"/>
        <d v="2023-09-20T00:00:00"/>
        <d v="2023-01-10T00:00:00"/>
        <d v="2023-02-26T00:00:00"/>
        <d v="2023-08-08T00:00:00"/>
        <d v="2023-02-04T00:00:00"/>
        <d v="2023-07-11T00:00:00"/>
        <d v="2023-06-30T00:00:00"/>
        <d v="2023-03-11T00:00:00"/>
        <d v="2023-07-24T00:00:00"/>
        <d v="2023-07-08T00:00:00"/>
        <d v="2023-11-05T00:00:00"/>
        <d v="2023-08-17T00:00:00"/>
        <d v="2023-01-22T00:00:00"/>
        <d v="2023-12-10T00:00:00"/>
        <d v="2023-11-08T00:00:00"/>
        <d v="2023-08-16T00:00:00"/>
        <d v="2023-03-04T00:00:00"/>
        <d v="2023-03-13T00:00:00"/>
        <d v="2023-10-10T00:00:00"/>
        <d v="2023-09-15T00:00:00"/>
        <d v="2023-11-25T00:00:00"/>
        <d v="2023-06-24T00:00:00"/>
        <d v="2023-03-08T00:00:00"/>
        <d v="2023-09-13T00:00:00"/>
        <d v="2023-07-26T00:00:00"/>
      </sharedItems>
      <fieldGroup par="10"/>
    </cacheField>
    <cacheField name="CompletionStatus" numFmtId="0">
      <sharedItems count="3">
        <s v="Completed"/>
        <s v="In Progress"/>
        <s v="Dropped"/>
      </sharedItems>
    </cacheField>
    <cacheField name="CourseFee" numFmtId="0">
      <sharedItems containsSemiMixedTypes="0" containsString="0" containsNumber="1" containsInteger="1" minValue="5000" maxValue="12000"/>
    </cacheField>
    <cacheField name="InstructorName" numFmtId="0">
      <sharedItems count="5">
        <s v="Dr. Sharma"/>
        <s v="Prof. Iyer"/>
        <s v="Dr. Khan"/>
        <s v="Dr. Patel"/>
        <s v="Prof. Reddy"/>
      </sharedItems>
    </cacheField>
    <cacheField name="Rating" numFmtId="0">
      <sharedItems count="6">
        <s v="5"/>
        <s v="Not Rated"/>
        <s v="1"/>
        <s v="3"/>
        <s v="2"/>
        <s v="4"/>
      </sharedItems>
    </cacheField>
    <cacheField name="Days (EnrollmentDate)" numFmtId="0" databaseField="0">
      <fieldGroup base="4">
        <rangePr groupBy="days" startDate="2023-01-04T00:00:00" endDate="2024-01-01T00:00:00"/>
        <groupItems count="368">
          <s v="&lt;04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Months (EnrollmentDate)" numFmtId="0" databaseField="0">
      <fieldGroup base="4">
        <rangePr groupBy="months" startDate="2023-01-04T00:00:00" endDate="2024-01-01T00:00:00"/>
        <groupItems count="14">
          <s v="&lt;04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s v="Ishita"/>
    <s v="C101"/>
    <x v="0"/>
    <x v="0"/>
    <x v="0"/>
    <n v="7000"/>
    <x v="0"/>
    <x v="0"/>
  </r>
  <r>
    <x v="1"/>
    <s v="Priya"/>
    <s v="C107"/>
    <x v="1"/>
    <x v="1"/>
    <x v="0"/>
    <n v="7000"/>
    <x v="1"/>
    <x v="0"/>
  </r>
  <r>
    <x v="2"/>
    <s v="Aarav"/>
    <s v="C104"/>
    <x v="2"/>
    <x v="2"/>
    <x v="1"/>
    <n v="10000"/>
    <x v="0"/>
    <x v="1"/>
  </r>
  <r>
    <x v="3"/>
    <s v="Karan"/>
    <s v="C107"/>
    <x v="3"/>
    <x v="3"/>
    <x v="0"/>
    <n v="7000"/>
    <x v="2"/>
    <x v="2"/>
  </r>
  <r>
    <x v="4"/>
    <s v="Vikram"/>
    <s v="C102"/>
    <x v="3"/>
    <x v="4"/>
    <x v="2"/>
    <n v="10000"/>
    <x v="0"/>
    <x v="1"/>
  </r>
  <r>
    <x v="5"/>
    <s v="Ananya"/>
    <s v="C102"/>
    <x v="2"/>
    <x v="5"/>
    <x v="2"/>
    <n v="10000"/>
    <x v="3"/>
    <x v="1"/>
  </r>
  <r>
    <x v="6"/>
    <s v="Sneha"/>
    <s v="C104"/>
    <x v="4"/>
    <x v="6"/>
    <x v="2"/>
    <n v="7000"/>
    <x v="2"/>
    <x v="1"/>
  </r>
  <r>
    <x v="7"/>
    <s v="Meera"/>
    <s v="C102"/>
    <x v="2"/>
    <x v="3"/>
    <x v="1"/>
    <n v="10000"/>
    <x v="1"/>
    <x v="1"/>
  </r>
  <r>
    <x v="8"/>
    <s v="Sneha"/>
    <s v="C104"/>
    <x v="0"/>
    <x v="7"/>
    <x v="2"/>
    <n v="5000"/>
    <x v="3"/>
    <x v="1"/>
  </r>
  <r>
    <x v="9"/>
    <s v="Karan"/>
    <s v="C104"/>
    <x v="5"/>
    <x v="8"/>
    <x v="1"/>
    <n v="10000"/>
    <x v="3"/>
    <x v="1"/>
  </r>
  <r>
    <x v="10"/>
    <s v="Sneha"/>
    <s v="C101"/>
    <x v="6"/>
    <x v="9"/>
    <x v="1"/>
    <n v="12000"/>
    <x v="2"/>
    <x v="1"/>
  </r>
  <r>
    <x v="11"/>
    <s v="Meera"/>
    <s v="C106"/>
    <x v="6"/>
    <x v="10"/>
    <x v="1"/>
    <n v="12000"/>
    <x v="4"/>
    <x v="1"/>
  </r>
  <r>
    <x v="12"/>
    <s v="Ravi"/>
    <s v="C103"/>
    <x v="6"/>
    <x v="11"/>
    <x v="2"/>
    <n v="10000"/>
    <x v="3"/>
    <x v="1"/>
  </r>
  <r>
    <x v="13"/>
    <s v="Priya"/>
    <s v="C107"/>
    <x v="3"/>
    <x v="2"/>
    <x v="0"/>
    <n v="12000"/>
    <x v="0"/>
    <x v="2"/>
  </r>
  <r>
    <x v="14"/>
    <s v="Ishita"/>
    <s v="C103"/>
    <x v="5"/>
    <x v="12"/>
    <x v="1"/>
    <n v="5000"/>
    <x v="4"/>
    <x v="1"/>
  </r>
  <r>
    <x v="15"/>
    <s v="Priya"/>
    <s v="C108"/>
    <x v="0"/>
    <x v="13"/>
    <x v="0"/>
    <n v="5000"/>
    <x v="3"/>
    <x v="3"/>
  </r>
  <r>
    <x v="16"/>
    <s v="Sneha"/>
    <s v="C102"/>
    <x v="0"/>
    <x v="14"/>
    <x v="0"/>
    <n v="12000"/>
    <x v="0"/>
    <x v="3"/>
  </r>
  <r>
    <x v="17"/>
    <s v="Arjun"/>
    <s v="C103"/>
    <x v="4"/>
    <x v="15"/>
    <x v="1"/>
    <n v="7000"/>
    <x v="1"/>
    <x v="1"/>
  </r>
  <r>
    <x v="18"/>
    <s v="Karan"/>
    <s v="C101"/>
    <x v="3"/>
    <x v="16"/>
    <x v="0"/>
    <n v="5000"/>
    <x v="2"/>
    <x v="3"/>
  </r>
  <r>
    <x v="19"/>
    <s v="Aarav"/>
    <s v="C104"/>
    <x v="4"/>
    <x v="17"/>
    <x v="2"/>
    <n v="12000"/>
    <x v="0"/>
    <x v="1"/>
  </r>
  <r>
    <x v="20"/>
    <s v="Arjun"/>
    <s v="C103"/>
    <x v="5"/>
    <x v="18"/>
    <x v="1"/>
    <n v="7000"/>
    <x v="2"/>
    <x v="1"/>
  </r>
  <r>
    <x v="21"/>
    <s v="Priya"/>
    <s v="C107"/>
    <x v="6"/>
    <x v="19"/>
    <x v="2"/>
    <n v="7000"/>
    <x v="2"/>
    <x v="1"/>
  </r>
  <r>
    <x v="22"/>
    <s v="Sneha"/>
    <s v="C108"/>
    <x v="7"/>
    <x v="20"/>
    <x v="0"/>
    <n v="7000"/>
    <x v="0"/>
    <x v="3"/>
  </r>
  <r>
    <x v="23"/>
    <s v="Priya"/>
    <s v="C104"/>
    <x v="6"/>
    <x v="21"/>
    <x v="0"/>
    <n v="5000"/>
    <x v="1"/>
    <x v="2"/>
  </r>
  <r>
    <x v="24"/>
    <s v="Aarav"/>
    <s v="C106"/>
    <x v="4"/>
    <x v="22"/>
    <x v="0"/>
    <n v="10000"/>
    <x v="4"/>
    <x v="4"/>
  </r>
  <r>
    <x v="25"/>
    <s v="Karan"/>
    <s v="C108"/>
    <x v="6"/>
    <x v="23"/>
    <x v="1"/>
    <n v="7000"/>
    <x v="0"/>
    <x v="1"/>
  </r>
  <r>
    <x v="26"/>
    <s v="Vikram"/>
    <s v="C106"/>
    <x v="2"/>
    <x v="24"/>
    <x v="1"/>
    <n v="5000"/>
    <x v="0"/>
    <x v="1"/>
  </r>
  <r>
    <x v="27"/>
    <s v="Vikram"/>
    <s v="C106"/>
    <x v="4"/>
    <x v="25"/>
    <x v="0"/>
    <n v="7000"/>
    <x v="3"/>
    <x v="5"/>
  </r>
  <r>
    <x v="28"/>
    <s v="Vikram"/>
    <s v="C103"/>
    <x v="0"/>
    <x v="8"/>
    <x v="0"/>
    <n v="5000"/>
    <x v="4"/>
    <x v="0"/>
  </r>
  <r>
    <x v="29"/>
    <s v="Aarav"/>
    <s v="C101"/>
    <x v="4"/>
    <x v="26"/>
    <x v="0"/>
    <n v="12000"/>
    <x v="4"/>
    <x v="5"/>
  </r>
  <r>
    <x v="30"/>
    <s v="Vikram"/>
    <s v="C101"/>
    <x v="5"/>
    <x v="27"/>
    <x v="0"/>
    <n v="12000"/>
    <x v="2"/>
    <x v="5"/>
  </r>
  <r>
    <x v="31"/>
    <s v="Vikram"/>
    <s v="C108"/>
    <x v="5"/>
    <x v="28"/>
    <x v="1"/>
    <n v="7000"/>
    <x v="0"/>
    <x v="1"/>
  </r>
  <r>
    <x v="32"/>
    <s v="Arjun"/>
    <s v="C101"/>
    <x v="3"/>
    <x v="29"/>
    <x v="0"/>
    <n v="12000"/>
    <x v="3"/>
    <x v="0"/>
  </r>
  <r>
    <x v="33"/>
    <s v="Aarav"/>
    <s v="C102"/>
    <x v="5"/>
    <x v="30"/>
    <x v="2"/>
    <n v="5000"/>
    <x v="1"/>
    <x v="1"/>
  </r>
  <r>
    <x v="34"/>
    <s v="Ishita"/>
    <s v="C104"/>
    <x v="1"/>
    <x v="31"/>
    <x v="0"/>
    <n v="12000"/>
    <x v="3"/>
    <x v="0"/>
  </r>
  <r>
    <x v="35"/>
    <s v="Sneha"/>
    <s v="C105"/>
    <x v="6"/>
    <x v="32"/>
    <x v="2"/>
    <n v="10000"/>
    <x v="1"/>
    <x v="1"/>
  </r>
  <r>
    <x v="36"/>
    <s v="Vikram"/>
    <s v="C103"/>
    <x v="0"/>
    <x v="33"/>
    <x v="1"/>
    <n v="5000"/>
    <x v="0"/>
    <x v="1"/>
  </r>
  <r>
    <x v="37"/>
    <s v="Priya"/>
    <s v="C102"/>
    <x v="4"/>
    <x v="34"/>
    <x v="0"/>
    <n v="10000"/>
    <x v="1"/>
    <x v="3"/>
  </r>
  <r>
    <x v="38"/>
    <s v="Ishita"/>
    <s v="C104"/>
    <x v="3"/>
    <x v="35"/>
    <x v="0"/>
    <n v="12000"/>
    <x v="3"/>
    <x v="3"/>
  </r>
  <r>
    <x v="39"/>
    <s v="Arjun"/>
    <s v="C101"/>
    <x v="0"/>
    <x v="36"/>
    <x v="0"/>
    <n v="7000"/>
    <x v="2"/>
    <x v="2"/>
  </r>
  <r>
    <x v="40"/>
    <s v="Ishita"/>
    <s v="C103"/>
    <x v="0"/>
    <x v="37"/>
    <x v="2"/>
    <n v="7000"/>
    <x v="2"/>
    <x v="1"/>
  </r>
  <r>
    <x v="41"/>
    <s v="Ravi"/>
    <s v="C108"/>
    <x v="0"/>
    <x v="38"/>
    <x v="0"/>
    <n v="12000"/>
    <x v="2"/>
    <x v="2"/>
  </r>
  <r>
    <x v="42"/>
    <s v="Sneha"/>
    <s v="C103"/>
    <x v="0"/>
    <x v="39"/>
    <x v="2"/>
    <n v="12000"/>
    <x v="3"/>
    <x v="1"/>
  </r>
  <r>
    <x v="43"/>
    <s v="Vikram"/>
    <s v="C101"/>
    <x v="4"/>
    <x v="40"/>
    <x v="2"/>
    <n v="7000"/>
    <x v="3"/>
    <x v="1"/>
  </r>
  <r>
    <x v="44"/>
    <s v="Sneha"/>
    <s v="C103"/>
    <x v="2"/>
    <x v="41"/>
    <x v="0"/>
    <n v="10000"/>
    <x v="2"/>
    <x v="2"/>
  </r>
  <r>
    <x v="45"/>
    <s v="Sneha"/>
    <s v="C104"/>
    <x v="6"/>
    <x v="42"/>
    <x v="0"/>
    <n v="10000"/>
    <x v="3"/>
    <x v="5"/>
  </r>
  <r>
    <x v="46"/>
    <s v="Priya"/>
    <s v="C103"/>
    <x v="6"/>
    <x v="43"/>
    <x v="0"/>
    <n v="12000"/>
    <x v="0"/>
    <x v="4"/>
  </r>
  <r>
    <x v="47"/>
    <s v="Sneha"/>
    <s v="C107"/>
    <x v="6"/>
    <x v="44"/>
    <x v="0"/>
    <n v="5000"/>
    <x v="4"/>
    <x v="2"/>
  </r>
  <r>
    <x v="48"/>
    <s v="Ananya"/>
    <s v="C104"/>
    <x v="6"/>
    <x v="45"/>
    <x v="1"/>
    <n v="10000"/>
    <x v="1"/>
    <x v="1"/>
  </r>
  <r>
    <x v="49"/>
    <s v="Aarav"/>
    <s v="C104"/>
    <x v="2"/>
    <x v="46"/>
    <x v="1"/>
    <n v="5000"/>
    <x v="2"/>
    <x v="1"/>
  </r>
  <r>
    <x v="50"/>
    <s v="Arjun"/>
    <s v="C107"/>
    <x v="3"/>
    <x v="47"/>
    <x v="0"/>
    <n v="10000"/>
    <x v="1"/>
    <x v="0"/>
  </r>
  <r>
    <x v="51"/>
    <s v="Ravi"/>
    <s v="C101"/>
    <x v="4"/>
    <x v="48"/>
    <x v="1"/>
    <n v="10000"/>
    <x v="2"/>
    <x v="1"/>
  </r>
  <r>
    <x v="52"/>
    <s v="Priya"/>
    <s v="C102"/>
    <x v="2"/>
    <x v="49"/>
    <x v="0"/>
    <n v="10000"/>
    <x v="0"/>
    <x v="5"/>
  </r>
  <r>
    <x v="53"/>
    <s v="Arjun"/>
    <s v="C104"/>
    <x v="3"/>
    <x v="50"/>
    <x v="0"/>
    <n v="10000"/>
    <x v="3"/>
    <x v="3"/>
  </r>
  <r>
    <x v="54"/>
    <s v="Ishita"/>
    <s v="C105"/>
    <x v="0"/>
    <x v="42"/>
    <x v="1"/>
    <n v="10000"/>
    <x v="4"/>
    <x v="1"/>
  </r>
  <r>
    <x v="55"/>
    <s v="Ravi"/>
    <s v="C103"/>
    <x v="6"/>
    <x v="51"/>
    <x v="2"/>
    <n v="12000"/>
    <x v="1"/>
    <x v="1"/>
  </r>
  <r>
    <x v="56"/>
    <s v="Priya"/>
    <s v="C105"/>
    <x v="2"/>
    <x v="52"/>
    <x v="0"/>
    <n v="10000"/>
    <x v="2"/>
    <x v="4"/>
  </r>
  <r>
    <x v="57"/>
    <s v="Priya"/>
    <s v="C106"/>
    <x v="7"/>
    <x v="53"/>
    <x v="1"/>
    <n v="7000"/>
    <x v="3"/>
    <x v="1"/>
  </r>
  <r>
    <x v="58"/>
    <s v="Karan"/>
    <s v="C102"/>
    <x v="0"/>
    <x v="22"/>
    <x v="2"/>
    <n v="10000"/>
    <x v="0"/>
    <x v="1"/>
  </r>
  <r>
    <x v="59"/>
    <s v="Meera"/>
    <s v="C105"/>
    <x v="6"/>
    <x v="54"/>
    <x v="0"/>
    <n v="5000"/>
    <x v="0"/>
    <x v="4"/>
  </r>
  <r>
    <x v="60"/>
    <s v="Priya"/>
    <s v="C102"/>
    <x v="7"/>
    <x v="55"/>
    <x v="2"/>
    <n v="7000"/>
    <x v="4"/>
    <x v="1"/>
  </r>
  <r>
    <x v="61"/>
    <s v="Vikram"/>
    <s v="C104"/>
    <x v="5"/>
    <x v="10"/>
    <x v="2"/>
    <n v="5000"/>
    <x v="0"/>
    <x v="1"/>
  </r>
  <r>
    <x v="62"/>
    <s v="Vikram"/>
    <s v="C104"/>
    <x v="5"/>
    <x v="56"/>
    <x v="2"/>
    <n v="12000"/>
    <x v="0"/>
    <x v="1"/>
  </r>
  <r>
    <x v="63"/>
    <s v="Meera"/>
    <s v="C102"/>
    <x v="7"/>
    <x v="57"/>
    <x v="1"/>
    <n v="10000"/>
    <x v="4"/>
    <x v="1"/>
  </r>
  <r>
    <x v="64"/>
    <s v="Arjun"/>
    <s v="C107"/>
    <x v="7"/>
    <x v="58"/>
    <x v="2"/>
    <n v="12000"/>
    <x v="4"/>
    <x v="1"/>
  </r>
  <r>
    <x v="65"/>
    <s v="Meera"/>
    <s v="C105"/>
    <x v="7"/>
    <x v="15"/>
    <x v="0"/>
    <n v="10000"/>
    <x v="4"/>
    <x v="2"/>
  </r>
  <r>
    <x v="66"/>
    <s v="Ravi"/>
    <s v="C104"/>
    <x v="0"/>
    <x v="59"/>
    <x v="1"/>
    <n v="5000"/>
    <x v="1"/>
    <x v="1"/>
  </r>
  <r>
    <x v="67"/>
    <s v="Meera"/>
    <s v="C107"/>
    <x v="5"/>
    <x v="60"/>
    <x v="0"/>
    <n v="5000"/>
    <x v="4"/>
    <x v="5"/>
  </r>
  <r>
    <x v="68"/>
    <s v="Arjun"/>
    <s v="C108"/>
    <x v="2"/>
    <x v="61"/>
    <x v="0"/>
    <n v="12000"/>
    <x v="4"/>
    <x v="0"/>
  </r>
  <r>
    <x v="69"/>
    <s v="Aarav"/>
    <s v="C107"/>
    <x v="7"/>
    <x v="21"/>
    <x v="1"/>
    <n v="10000"/>
    <x v="4"/>
    <x v="1"/>
  </r>
  <r>
    <x v="70"/>
    <s v="Vikram"/>
    <s v="C104"/>
    <x v="7"/>
    <x v="2"/>
    <x v="1"/>
    <n v="12000"/>
    <x v="4"/>
    <x v="1"/>
  </r>
  <r>
    <x v="71"/>
    <s v="Vikram"/>
    <s v="C106"/>
    <x v="2"/>
    <x v="62"/>
    <x v="1"/>
    <n v="7000"/>
    <x v="3"/>
    <x v="1"/>
  </r>
  <r>
    <x v="72"/>
    <s v="Aarav"/>
    <s v="C107"/>
    <x v="1"/>
    <x v="63"/>
    <x v="2"/>
    <n v="12000"/>
    <x v="1"/>
    <x v="1"/>
  </r>
  <r>
    <x v="73"/>
    <s v="Ananya"/>
    <s v="C103"/>
    <x v="1"/>
    <x v="64"/>
    <x v="1"/>
    <n v="10000"/>
    <x v="1"/>
    <x v="1"/>
  </r>
  <r>
    <x v="74"/>
    <s v="Sneha"/>
    <s v="C106"/>
    <x v="2"/>
    <x v="3"/>
    <x v="1"/>
    <n v="10000"/>
    <x v="0"/>
    <x v="1"/>
  </r>
  <r>
    <x v="75"/>
    <s v="Aarav"/>
    <s v="C101"/>
    <x v="3"/>
    <x v="65"/>
    <x v="2"/>
    <n v="5000"/>
    <x v="0"/>
    <x v="1"/>
  </r>
  <r>
    <x v="76"/>
    <s v="Aarav"/>
    <s v="C104"/>
    <x v="6"/>
    <x v="66"/>
    <x v="2"/>
    <n v="7000"/>
    <x v="1"/>
    <x v="1"/>
  </r>
  <r>
    <x v="77"/>
    <s v="Ananya"/>
    <s v="C102"/>
    <x v="6"/>
    <x v="67"/>
    <x v="2"/>
    <n v="10000"/>
    <x v="2"/>
    <x v="1"/>
  </r>
  <r>
    <x v="78"/>
    <s v="Priya"/>
    <s v="C102"/>
    <x v="5"/>
    <x v="68"/>
    <x v="0"/>
    <n v="5000"/>
    <x v="2"/>
    <x v="0"/>
  </r>
  <r>
    <x v="79"/>
    <s v="Vikram"/>
    <s v="C107"/>
    <x v="6"/>
    <x v="40"/>
    <x v="2"/>
    <n v="7000"/>
    <x v="0"/>
    <x v="1"/>
  </r>
  <r>
    <x v="55"/>
    <s v="Ravi"/>
    <s v="C102"/>
    <x v="1"/>
    <x v="69"/>
    <x v="2"/>
    <n v="12000"/>
    <x v="2"/>
    <x v="1"/>
  </r>
  <r>
    <x v="80"/>
    <s v="Arjun"/>
    <s v="C106"/>
    <x v="1"/>
    <x v="51"/>
    <x v="1"/>
    <n v="5000"/>
    <x v="4"/>
    <x v="1"/>
  </r>
  <r>
    <x v="81"/>
    <s v="Sneha"/>
    <s v="C108"/>
    <x v="5"/>
    <x v="14"/>
    <x v="0"/>
    <n v="10000"/>
    <x v="3"/>
    <x v="0"/>
  </r>
  <r>
    <x v="82"/>
    <s v="Ananya"/>
    <s v="C108"/>
    <x v="2"/>
    <x v="70"/>
    <x v="1"/>
    <n v="10000"/>
    <x v="1"/>
    <x v="1"/>
  </r>
  <r>
    <x v="83"/>
    <s v="Ishita"/>
    <s v="C105"/>
    <x v="7"/>
    <x v="71"/>
    <x v="1"/>
    <n v="12000"/>
    <x v="2"/>
    <x v="1"/>
  </r>
  <r>
    <x v="71"/>
    <s v="Ananya"/>
    <s v="C106"/>
    <x v="5"/>
    <x v="72"/>
    <x v="0"/>
    <n v="10000"/>
    <x v="2"/>
    <x v="3"/>
  </r>
  <r>
    <x v="84"/>
    <s v="Priya"/>
    <s v="C105"/>
    <x v="1"/>
    <x v="73"/>
    <x v="0"/>
    <n v="5000"/>
    <x v="1"/>
    <x v="5"/>
  </r>
  <r>
    <x v="85"/>
    <s v="Arjun"/>
    <s v="C104"/>
    <x v="7"/>
    <x v="74"/>
    <x v="2"/>
    <n v="12000"/>
    <x v="4"/>
    <x v="1"/>
  </r>
  <r>
    <x v="86"/>
    <s v="Aarav"/>
    <s v="C102"/>
    <x v="0"/>
    <x v="75"/>
    <x v="1"/>
    <n v="7000"/>
    <x v="2"/>
    <x v="1"/>
  </r>
  <r>
    <x v="54"/>
    <s v="Priya"/>
    <s v="C106"/>
    <x v="7"/>
    <x v="13"/>
    <x v="2"/>
    <n v="10000"/>
    <x v="4"/>
    <x v="1"/>
  </r>
  <r>
    <x v="87"/>
    <s v="Arjun"/>
    <s v="C106"/>
    <x v="3"/>
    <x v="7"/>
    <x v="1"/>
    <n v="10000"/>
    <x v="2"/>
    <x v="1"/>
  </r>
  <r>
    <x v="88"/>
    <s v="Meera"/>
    <s v="C102"/>
    <x v="6"/>
    <x v="76"/>
    <x v="0"/>
    <n v="7000"/>
    <x v="1"/>
    <x v="4"/>
  </r>
  <r>
    <x v="89"/>
    <s v="Ananya"/>
    <s v="C105"/>
    <x v="0"/>
    <x v="77"/>
    <x v="0"/>
    <n v="10000"/>
    <x v="1"/>
    <x v="3"/>
  </r>
  <r>
    <x v="90"/>
    <s v="Ravi"/>
    <s v="C101"/>
    <x v="5"/>
    <x v="78"/>
    <x v="0"/>
    <n v="5000"/>
    <x v="3"/>
    <x v="3"/>
  </r>
  <r>
    <x v="91"/>
    <s v="Karan"/>
    <s v="C108"/>
    <x v="4"/>
    <x v="79"/>
    <x v="2"/>
    <n v="10000"/>
    <x v="4"/>
    <x v="1"/>
  </r>
  <r>
    <x v="92"/>
    <s v="Ananya"/>
    <s v="C106"/>
    <x v="5"/>
    <x v="38"/>
    <x v="1"/>
    <n v="12000"/>
    <x v="0"/>
    <x v="1"/>
  </r>
  <r>
    <x v="93"/>
    <s v="Ishita"/>
    <s v="C107"/>
    <x v="7"/>
    <x v="80"/>
    <x v="2"/>
    <n v="5000"/>
    <x v="1"/>
    <x v="1"/>
  </r>
  <r>
    <x v="94"/>
    <s v="Priya"/>
    <s v="C105"/>
    <x v="4"/>
    <x v="25"/>
    <x v="0"/>
    <n v="12000"/>
    <x v="3"/>
    <x v="0"/>
  </r>
  <r>
    <x v="95"/>
    <s v="Priya"/>
    <s v="C104"/>
    <x v="2"/>
    <x v="81"/>
    <x v="1"/>
    <n v="10000"/>
    <x v="3"/>
    <x v="1"/>
  </r>
  <r>
    <x v="96"/>
    <s v="Ravi"/>
    <s v="C101"/>
    <x v="4"/>
    <x v="82"/>
    <x v="2"/>
    <n v="7000"/>
    <x v="2"/>
    <x v="1"/>
  </r>
  <r>
    <x v="97"/>
    <s v="Ishita"/>
    <s v="C103"/>
    <x v="6"/>
    <x v="83"/>
    <x v="2"/>
    <n v="5000"/>
    <x v="1"/>
    <x v="1"/>
  </r>
  <r>
    <x v="98"/>
    <s v="Vikram"/>
    <s v="C108"/>
    <x v="7"/>
    <x v="84"/>
    <x v="0"/>
    <n v="7000"/>
    <x v="2"/>
    <x v="3"/>
  </r>
  <r>
    <x v="99"/>
    <s v="Ananya"/>
    <s v="C102"/>
    <x v="6"/>
    <x v="85"/>
    <x v="2"/>
    <n v="7000"/>
    <x v="4"/>
    <x v="1"/>
  </r>
  <r>
    <x v="100"/>
    <s v="Arjun"/>
    <s v="C104"/>
    <x v="5"/>
    <x v="44"/>
    <x v="0"/>
    <n v="5000"/>
    <x v="0"/>
    <x v="4"/>
  </r>
  <r>
    <x v="86"/>
    <s v="Ravi"/>
    <s v="C105"/>
    <x v="7"/>
    <x v="86"/>
    <x v="1"/>
    <n v="10000"/>
    <x v="4"/>
    <x v="1"/>
  </r>
  <r>
    <x v="101"/>
    <s v="Ravi"/>
    <s v="C108"/>
    <x v="7"/>
    <x v="87"/>
    <x v="2"/>
    <n v="5000"/>
    <x v="4"/>
    <x v="1"/>
  </r>
  <r>
    <x v="102"/>
    <s v="Sneha"/>
    <s v="C105"/>
    <x v="1"/>
    <x v="88"/>
    <x v="0"/>
    <n v="5000"/>
    <x v="2"/>
    <x v="0"/>
  </r>
  <r>
    <x v="103"/>
    <s v="Karan"/>
    <s v="C108"/>
    <x v="7"/>
    <x v="3"/>
    <x v="0"/>
    <n v="12000"/>
    <x v="4"/>
    <x v="2"/>
  </r>
  <r>
    <x v="75"/>
    <s v="Sneha"/>
    <s v="C107"/>
    <x v="3"/>
    <x v="89"/>
    <x v="2"/>
    <n v="5000"/>
    <x v="1"/>
    <x v="1"/>
  </r>
  <r>
    <x v="104"/>
    <s v="Vikram"/>
    <s v="C108"/>
    <x v="0"/>
    <x v="36"/>
    <x v="1"/>
    <n v="5000"/>
    <x v="4"/>
    <x v="1"/>
  </r>
  <r>
    <x v="105"/>
    <s v="Sneha"/>
    <s v="C105"/>
    <x v="3"/>
    <x v="90"/>
    <x v="1"/>
    <n v="5000"/>
    <x v="3"/>
    <x v="1"/>
  </r>
  <r>
    <x v="106"/>
    <s v="Vikram"/>
    <s v="C101"/>
    <x v="6"/>
    <x v="91"/>
    <x v="1"/>
    <n v="12000"/>
    <x v="4"/>
    <x v="1"/>
  </r>
  <r>
    <x v="20"/>
    <s v="Aarav"/>
    <s v="C104"/>
    <x v="0"/>
    <x v="92"/>
    <x v="0"/>
    <n v="10000"/>
    <x v="4"/>
    <x v="5"/>
  </r>
  <r>
    <x v="107"/>
    <s v="Aarav"/>
    <s v="C104"/>
    <x v="5"/>
    <x v="68"/>
    <x v="2"/>
    <n v="5000"/>
    <x v="3"/>
    <x v="1"/>
  </r>
  <r>
    <x v="108"/>
    <s v="Ishita"/>
    <s v="C104"/>
    <x v="4"/>
    <x v="8"/>
    <x v="0"/>
    <n v="7000"/>
    <x v="4"/>
    <x v="3"/>
  </r>
  <r>
    <x v="109"/>
    <s v="Ravi"/>
    <s v="C107"/>
    <x v="7"/>
    <x v="93"/>
    <x v="0"/>
    <n v="12000"/>
    <x v="3"/>
    <x v="4"/>
  </r>
  <r>
    <x v="110"/>
    <s v="Meera"/>
    <s v="C103"/>
    <x v="4"/>
    <x v="94"/>
    <x v="1"/>
    <n v="10000"/>
    <x v="3"/>
    <x v="1"/>
  </r>
  <r>
    <x v="111"/>
    <s v="Aarav"/>
    <s v="C105"/>
    <x v="0"/>
    <x v="95"/>
    <x v="2"/>
    <n v="12000"/>
    <x v="1"/>
    <x v="1"/>
  </r>
  <r>
    <x v="112"/>
    <s v="Arjun"/>
    <s v="C108"/>
    <x v="3"/>
    <x v="96"/>
    <x v="2"/>
    <n v="12000"/>
    <x v="4"/>
    <x v="1"/>
  </r>
  <r>
    <x v="113"/>
    <s v="Sneha"/>
    <s v="C104"/>
    <x v="6"/>
    <x v="97"/>
    <x v="1"/>
    <n v="7000"/>
    <x v="4"/>
    <x v="1"/>
  </r>
  <r>
    <x v="114"/>
    <s v="Sneha"/>
    <s v="C108"/>
    <x v="2"/>
    <x v="98"/>
    <x v="2"/>
    <n v="7000"/>
    <x v="4"/>
    <x v="1"/>
  </r>
  <r>
    <x v="115"/>
    <s v="Aarav"/>
    <s v="C103"/>
    <x v="3"/>
    <x v="77"/>
    <x v="1"/>
    <n v="5000"/>
    <x v="3"/>
    <x v="1"/>
  </r>
  <r>
    <x v="116"/>
    <s v="Ananya"/>
    <s v="C101"/>
    <x v="5"/>
    <x v="99"/>
    <x v="2"/>
    <n v="7000"/>
    <x v="0"/>
    <x v="1"/>
  </r>
  <r>
    <x v="117"/>
    <s v="Ravi"/>
    <s v="C106"/>
    <x v="2"/>
    <x v="100"/>
    <x v="0"/>
    <n v="10000"/>
    <x v="3"/>
    <x v="5"/>
  </r>
  <r>
    <x v="118"/>
    <s v="Sneha"/>
    <s v="C108"/>
    <x v="1"/>
    <x v="101"/>
    <x v="0"/>
    <n v="7000"/>
    <x v="2"/>
    <x v="4"/>
  </r>
  <r>
    <x v="119"/>
    <s v="Ishita"/>
    <s v="C107"/>
    <x v="4"/>
    <x v="102"/>
    <x v="2"/>
    <n v="5000"/>
    <x v="4"/>
    <x v="1"/>
  </r>
  <r>
    <x v="120"/>
    <s v="Ravi"/>
    <s v="C101"/>
    <x v="1"/>
    <x v="103"/>
    <x v="0"/>
    <n v="10000"/>
    <x v="2"/>
    <x v="3"/>
  </r>
  <r>
    <x v="121"/>
    <s v="Karan"/>
    <s v="C104"/>
    <x v="2"/>
    <x v="104"/>
    <x v="2"/>
    <n v="7000"/>
    <x v="1"/>
    <x v="1"/>
  </r>
  <r>
    <x v="122"/>
    <s v="Ishita"/>
    <s v="C107"/>
    <x v="6"/>
    <x v="105"/>
    <x v="2"/>
    <n v="7000"/>
    <x v="1"/>
    <x v="1"/>
  </r>
  <r>
    <x v="123"/>
    <s v="Ravi"/>
    <s v="C108"/>
    <x v="0"/>
    <x v="42"/>
    <x v="0"/>
    <n v="12000"/>
    <x v="2"/>
    <x v="0"/>
  </r>
  <r>
    <x v="33"/>
    <s v="Ishita"/>
    <s v="C108"/>
    <x v="3"/>
    <x v="95"/>
    <x v="1"/>
    <n v="12000"/>
    <x v="2"/>
    <x v="1"/>
  </r>
  <r>
    <x v="124"/>
    <s v="Ravi"/>
    <s v="C104"/>
    <x v="2"/>
    <x v="106"/>
    <x v="0"/>
    <n v="7000"/>
    <x v="4"/>
    <x v="0"/>
  </r>
  <r>
    <x v="125"/>
    <s v="Priya"/>
    <s v="C105"/>
    <x v="0"/>
    <x v="107"/>
    <x v="2"/>
    <n v="12000"/>
    <x v="2"/>
    <x v="1"/>
  </r>
  <r>
    <x v="126"/>
    <s v="Priya"/>
    <s v="C101"/>
    <x v="7"/>
    <x v="108"/>
    <x v="0"/>
    <n v="10000"/>
    <x v="1"/>
    <x v="4"/>
  </r>
  <r>
    <x v="127"/>
    <s v="Ravi"/>
    <s v="C103"/>
    <x v="4"/>
    <x v="109"/>
    <x v="2"/>
    <n v="5000"/>
    <x v="2"/>
    <x v="1"/>
  </r>
  <r>
    <x v="128"/>
    <s v="Ananya"/>
    <s v="C101"/>
    <x v="3"/>
    <x v="110"/>
    <x v="0"/>
    <n v="10000"/>
    <x v="2"/>
    <x v="5"/>
  </r>
  <r>
    <x v="122"/>
    <s v="Meera"/>
    <s v="C103"/>
    <x v="3"/>
    <x v="111"/>
    <x v="2"/>
    <n v="10000"/>
    <x v="1"/>
    <x v="1"/>
  </r>
  <r>
    <x v="129"/>
    <s v="Ananya"/>
    <s v="C105"/>
    <x v="3"/>
    <x v="112"/>
    <x v="1"/>
    <n v="5000"/>
    <x v="1"/>
    <x v="1"/>
  </r>
  <r>
    <x v="76"/>
    <s v="Meera"/>
    <s v="C107"/>
    <x v="3"/>
    <x v="88"/>
    <x v="1"/>
    <n v="5000"/>
    <x v="2"/>
    <x v="1"/>
  </r>
  <r>
    <x v="130"/>
    <s v="Ishita"/>
    <s v="C108"/>
    <x v="3"/>
    <x v="113"/>
    <x v="2"/>
    <n v="10000"/>
    <x v="3"/>
    <x v="1"/>
  </r>
  <r>
    <x v="15"/>
    <s v="Sneha"/>
    <s v="C102"/>
    <x v="6"/>
    <x v="93"/>
    <x v="0"/>
    <n v="10000"/>
    <x v="3"/>
    <x v="4"/>
  </r>
  <r>
    <x v="131"/>
    <s v="Ishita"/>
    <s v="C108"/>
    <x v="0"/>
    <x v="100"/>
    <x v="1"/>
    <n v="5000"/>
    <x v="1"/>
    <x v="1"/>
  </r>
  <r>
    <x v="132"/>
    <s v="Aarav"/>
    <s v="C105"/>
    <x v="7"/>
    <x v="90"/>
    <x v="0"/>
    <n v="7000"/>
    <x v="3"/>
    <x v="4"/>
  </r>
  <r>
    <x v="133"/>
    <s v="Ananya"/>
    <s v="C106"/>
    <x v="2"/>
    <x v="95"/>
    <x v="2"/>
    <n v="7000"/>
    <x v="4"/>
    <x v="1"/>
  </r>
  <r>
    <x v="134"/>
    <s v="Ishita"/>
    <s v="C108"/>
    <x v="2"/>
    <x v="114"/>
    <x v="0"/>
    <n v="10000"/>
    <x v="1"/>
    <x v="5"/>
  </r>
  <r>
    <x v="135"/>
    <s v="Meera"/>
    <s v="C106"/>
    <x v="4"/>
    <x v="115"/>
    <x v="1"/>
    <n v="10000"/>
    <x v="0"/>
    <x v="1"/>
  </r>
  <r>
    <x v="136"/>
    <s v="Ravi"/>
    <s v="C104"/>
    <x v="4"/>
    <x v="116"/>
    <x v="0"/>
    <n v="7000"/>
    <x v="3"/>
    <x v="2"/>
  </r>
  <r>
    <x v="137"/>
    <s v="Sneha"/>
    <s v="C104"/>
    <x v="5"/>
    <x v="104"/>
    <x v="0"/>
    <n v="5000"/>
    <x v="3"/>
    <x v="4"/>
  </r>
  <r>
    <x v="138"/>
    <s v="Meera"/>
    <s v="C104"/>
    <x v="3"/>
    <x v="117"/>
    <x v="2"/>
    <n v="5000"/>
    <x v="2"/>
    <x v="1"/>
  </r>
  <r>
    <x v="48"/>
    <s v="Karan"/>
    <s v="C103"/>
    <x v="0"/>
    <x v="118"/>
    <x v="0"/>
    <n v="5000"/>
    <x v="1"/>
    <x v="2"/>
  </r>
  <r>
    <x v="139"/>
    <s v="Meera"/>
    <s v="C106"/>
    <x v="1"/>
    <x v="118"/>
    <x v="1"/>
    <n v="5000"/>
    <x v="1"/>
    <x v="1"/>
  </r>
  <r>
    <x v="140"/>
    <s v="Vikram"/>
    <s v="C102"/>
    <x v="4"/>
    <x v="119"/>
    <x v="1"/>
    <n v="10000"/>
    <x v="3"/>
    <x v="1"/>
  </r>
  <r>
    <x v="141"/>
    <s v="Ishita"/>
    <s v="C108"/>
    <x v="6"/>
    <x v="120"/>
    <x v="0"/>
    <n v="10000"/>
    <x v="4"/>
    <x v="2"/>
  </r>
  <r>
    <x v="27"/>
    <s v="Ananya"/>
    <s v="C107"/>
    <x v="2"/>
    <x v="115"/>
    <x v="0"/>
    <n v="12000"/>
    <x v="4"/>
    <x v="2"/>
  </r>
  <r>
    <x v="45"/>
    <s v="Ishita"/>
    <s v="C106"/>
    <x v="5"/>
    <x v="121"/>
    <x v="0"/>
    <n v="10000"/>
    <x v="3"/>
    <x v="0"/>
  </r>
  <r>
    <x v="142"/>
    <s v="Sneha"/>
    <s v="C107"/>
    <x v="0"/>
    <x v="116"/>
    <x v="2"/>
    <n v="12000"/>
    <x v="0"/>
    <x v="1"/>
  </r>
  <r>
    <x v="143"/>
    <s v="Ishita"/>
    <s v="C104"/>
    <x v="2"/>
    <x v="122"/>
    <x v="0"/>
    <n v="12000"/>
    <x v="2"/>
    <x v="5"/>
  </r>
  <r>
    <x v="22"/>
    <s v="Vikram"/>
    <s v="C102"/>
    <x v="3"/>
    <x v="123"/>
    <x v="1"/>
    <n v="10000"/>
    <x v="2"/>
    <x v="1"/>
  </r>
  <r>
    <x v="144"/>
    <s v="Karan"/>
    <s v="C108"/>
    <x v="4"/>
    <x v="88"/>
    <x v="0"/>
    <n v="5000"/>
    <x v="4"/>
    <x v="2"/>
  </r>
  <r>
    <x v="145"/>
    <s v="Sneha"/>
    <s v="C103"/>
    <x v="1"/>
    <x v="95"/>
    <x v="2"/>
    <n v="10000"/>
    <x v="0"/>
    <x v="1"/>
  </r>
  <r>
    <x v="146"/>
    <s v="Sneha"/>
    <s v="C107"/>
    <x v="1"/>
    <x v="124"/>
    <x v="2"/>
    <n v="10000"/>
    <x v="2"/>
    <x v="1"/>
  </r>
  <r>
    <x v="147"/>
    <s v="Priya"/>
    <s v="C104"/>
    <x v="5"/>
    <x v="125"/>
    <x v="1"/>
    <n v="7000"/>
    <x v="0"/>
    <x v="1"/>
  </r>
  <r>
    <x v="148"/>
    <s v="Arjun"/>
    <s v="C106"/>
    <x v="4"/>
    <x v="3"/>
    <x v="2"/>
    <n v="7000"/>
    <x v="4"/>
    <x v="1"/>
  </r>
  <r>
    <x v="149"/>
    <s v="Arjun"/>
    <s v="C101"/>
    <x v="0"/>
    <x v="47"/>
    <x v="0"/>
    <n v="10000"/>
    <x v="2"/>
    <x v="3"/>
  </r>
  <r>
    <x v="50"/>
    <s v="Aarav"/>
    <s v="C103"/>
    <x v="5"/>
    <x v="104"/>
    <x v="2"/>
    <n v="12000"/>
    <x v="0"/>
    <x v="1"/>
  </r>
  <r>
    <x v="150"/>
    <s v="Aarav"/>
    <s v="C102"/>
    <x v="6"/>
    <x v="126"/>
    <x v="1"/>
    <n v="12000"/>
    <x v="2"/>
    <x v="1"/>
  </r>
  <r>
    <x v="33"/>
    <s v="Sneha"/>
    <s v="C105"/>
    <x v="3"/>
    <x v="127"/>
    <x v="2"/>
    <n v="5000"/>
    <x v="0"/>
    <x v="1"/>
  </r>
  <r>
    <x v="151"/>
    <s v="Karan"/>
    <s v="C101"/>
    <x v="4"/>
    <x v="128"/>
    <x v="1"/>
    <n v="12000"/>
    <x v="4"/>
    <x v="1"/>
  </r>
  <r>
    <x v="152"/>
    <s v="Ananya"/>
    <s v="C107"/>
    <x v="0"/>
    <x v="129"/>
    <x v="2"/>
    <n v="5000"/>
    <x v="2"/>
    <x v="1"/>
  </r>
  <r>
    <x v="57"/>
    <s v="Ishita"/>
    <s v="C105"/>
    <x v="7"/>
    <x v="130"/>
    <x v="2"/>
    <n v="10000"/>
    <x v="0"/>
    <x v="1"/>
  </r>
  <r>
    <x v="153"/>
    <s v="Vikram"/>
    <s v="C101"/>
    <x v="1"/>
    <x v="131"/>
    <x v="1"/>
    <n v="7000"/>
    <x v="1"/>
    <x v="1"/>
  </r>
  <r>
    <x v="154"/>
    <s v="Ravi"/>
    <s v="C105"/>
    <x v="3"/>
    <x v="20"/>
    <x v="0"/>
    <n v="12000"/>
    <x v="4"/>
    <x v="4"/>
  </r>
  <r>
    <x v="155"/>
    <s v="Vikram"/>
    <s v="C104"/>
    <x v="3"/>
    <x v="132"/>
    <x v="1"/>
    <n v="5000"/>
    <x v="4"/>
    <x v="1"/>
  </r>
  <r>
    <x v="156"/>
    <s v="Ananya"/>
    <s v="C102"/>
    <x v="3"/>
    <x v="133"/>
    <x v="1"/>
    <n v="12000"/>
    <x v="4"/>
    <x v="1"/>
  </r>
  <r>
    <x v="157"/>
    <s v="Ishita"/>
    <s v="C107"/>
    <x v="1"/>
    <x v="103"/>
    <x v="0"/>
    <n v="12000"/>
    <x v="2"/>
    <x v="2"/>
  </r>
  <r>
    <x v="158"/>
    <s v="Ishita"/>
    <s v="C104"/>
    <x v="2"/>
    <x v="134"/>
    <x v="1"/>
    <n v="5000"/>
    <x v="4"/>
    <x v="1"/>
  </r>
  <r>
    <x v="159"/>
    <s v="Ravi"/>
    <s v="C106"/>
    <x v="6"/>
    <x v="96"/>
    <x v="0"/>
    <n v="5000"/>
    <x v="3"/>
    <x v="2"/>
  </r>
  <r>
    <x v="160"/>
    <s v="Arjun"/>
    <s v="C104"/>
    <x v="3"/>
    <x v="135"/>
    <x v="2"/>
    <n v="7000"/>
    <x v="1"/>
    <x v="1"/>
  </r>
  <r>
    <x v="161"/>
    <s v="Karan"/>
    <s v="C105"/>
    <x v="6"/>
    <x v="83"/>
    <x v="2"/>
    <n v="7000"/>
    <x v="0"/>
    <x v="1"/>
  </r>
  <r>
    <x v="162"/>
    <s v="Ananya"/>
    <s v="C108"/>
    <x v="7"/>
    <x v="12"/>
    <x v="2"/>
    <n v="10000"/>
    <x v="2"/>
    <x v="1"/>
  </r>
  <r>
    <x v="67"/>
    <s v="Ananya"/>
    <s v="C102"/>
    <x v="7"/>
    <x v="53"/>
    <x v="2"/>
    <n v="10000"/>
    <x v="2"/>
    <x v="1"/>
  </r>
  <r>
    <x v="163"/>
    <s v="Aarav"/>
    <s v="C106"/>
    <x v="4"/>
    <x v="136"/>
    <x v="1"/>
    <n v="12000"/>
    <x v="0"/>
    <x v="1"/>
  </r>
  <r>
    <x v="164"/>
    <s v="Sneha"/>
    <s v="C105"/>
    <x v="4"/>
    <x v="74"/>
    <x v="0"/>
    <n v="12000"/>
    <x v="4"/>
    <x v="0"/>
  </r>
  <r>
    <x v="165"/>
    <s v="Aarav"/>
    <s v="C108"/>
    <x v="6"/>
    <x v="89"/>
    <x v="2"/>
    <n v="12000"/>
    <x v="3"/>
    <x v="1"/>
  </r>
  <r>
    <x v="67"/>
    <s v="Aarav"/>
    <s v="C108"/>
    <x v="4"/>
    <x v="137"/>
    <x v="2"/>
    <n v="5000"/>
    <x v="3"/>
    <x v="1"/>
  </r>
  <r>
    <x v="166"/>
    <s v="Karan"/>
    <s v="C101"/>
    <x v="6"/>
    <x v="138"/>
    <x v="1"/>
    <n v="12000"/>
    <x v="3"/>
    <x v="1"/>
  </r>
  <r>
    <x v="35"/>
    <s v="Priya"/>
    <s v="C103"/>
    <x v="3"/>
    <x v="139"/>
    <x v="1"/>
    <n v="12000"/>
    <x v="4"/>
    <x v="1"/>
  </r>
  <r>
    <x v="82"/>
    <s v="Sneha"/>
    <s v="C101"/>
    <x v="3"/>
    <x v="121"/>
    <x v="1"/>
    <n v="5000"/>
    <x v="3"/>
    <x v="1"/>
  </r>
  <r>
    <x v="167"/>
    <s v="Vikram"/>
    <s v="C105"/>
    <x v="0"/>
    <x v="125"/>
    <x v="2"/>
    <n v="7000"/>
    <x v="2"/>
    <x v="1"/>
  </r>
  <r>
    <x v="168"/>
    <s v="Priya"/>
    <s v="C103"/>
    <x v="3"/>
    <x v="136"/>
    <x v="2"/>
    <n v="12000"/>
    <x v="1"/>
    <x v="1"/>
  </r>
  <r>
    <x v="169"/>
    <s v="Ishita"/>
    <s v="C105"/>
    <x v="2"/>
    <x v="140"/>
    <x v="1"/>
    <n v="7000"/>
    <x v="3"/>
    <x v="1"/>
  </r>
  <r>
    <x v="170"/>
    <s v="Vikram"/>
    <s v="C106"/>
    <x v="1"/>
    <x v="141"/>
    <x v="1"/>
    <n v="7000"/>
    <x v="1"/>
    <x v="1"/>
  </r>
  <r>
    <x v="171"/>
    <s v="Ananya"/>
    <s v="C104"/>
    <x v="6"/>
    <x v="142"/>
    <x v="0"/>
    <n v="5000"/>
    <x v="2"/>
    <x v="2"/>
  </r>
  <r>
    <x v="172"/>
    <s v="Arjun"/>
    <s v="C101"/>
    <x v="3"/>
    <x v="101"/>
    <x v="0"/>
    <n v="12000"/>
    <x v="1"/>
    <x v="4"/>
  </r>
  <r>
    <x v="173"/>
    <s v="Priya"/>
    <s v="C103"/>
    <x v="7"/>
    <x v="143"/>
    <x v="1"/>
    <n v="10000"/>
    <x v="1"/>
    <x v="1"/>
  </r>
  <r>
    <x v="174"/>
    <s v="Ananya"/>
    <s v="C105"/>
    <x v="7"/>
    <x v="144"/>
    <x v="2"/>
    <n v="7000"/>
    <x v="2"/>
    <x v="1"/>
  </r>
  <r>
    <x v="175"/>
    <s v="Ananya"/>
    <s v="C104"/>
    <x v="3"/>
    <x v="145"/>
    <x v="2"/>
    <n v="12000"/>
    <x v="4"/>
    <x v="1"/>
  </r>
  <r>
    <x v="16"/>
    <s v="Ravi"/>
    <s v="C107"/>
    <x v="2"/>
    <x v="39"/>
    <x v="0"/>
    <n v="7000"/>
    <x v="2"/>
    <x v="2"/>
  </r>
  <r>
    <x v="176"/>
    <s v="Ananya"/>
    <s v="C106"/>
    <x v="4"/>
    <x v="146"/>
    <x v="2"/>
    <n v="5000"/>
    <x v="2"/>
    <x v="1"/>
  </r>
  <r>
    <x v="177"/>
    <s v="Karan"/>
    <s v="C105"/>
    <x v="7"/>
    <x v="147"/>
    <x v="0"/>
    <n v="12000"/>
    <x v="0"/>
    <x v="4"/>
  </r>
  <r>
    <x v="178"/>
    <s v="Ananya"/>
    <s v="C106"/>
    <x v="1"/>
    <x v="55"/>
    <x v="0"/>
    <n v="12000"/>
    <x v="3"/>
    <x v="3"/>
  </r>
  <r>
    <x v="179"/>
    <s v="Vikram"/>
    <s v="C102"/>
    <x v="3"/>
    <x v="65"/>
    <x v="0"/>
    <n v="10000"/>
    <x v="0"/>
    <x v="3"/>
  </r>
  <r>
    <x v="180"/>
    <s v="Karan"/>
    <s v="C103"/>
    <x v="1"/>
    <x v="108"/>
    <x v="1"/>
    <n v="7000"/>
    <x v="4"/>
    <x v="1"/>
  </r>
  <r>
    <x v="181"/>
    <s v="Priya"/>
    <s v="C101"/>
    <x v="4"/>
    <x v="148"/>
    <x v="1"/>
    <n v="7000"/>
    <x v="1"/>
    <x v="1"/>
  </r>
  <r>
    <x v="142"/>
    <s v="Priya"/>
    <s v="C107"/>
    <x v="4"/>
    <x v="124"/>
    <x v="0"/>
    <n v="10000"/>
    <x v="0"/>
    <x v="2"/>
  </r>
  <r>
    <x v="182"/>
    <s v="Vikram"/>
    <s v="C108"/>
    <x v="4"/>
    <x v="149"/>
    <x v="1"/>
    <n v="5000"/>
    <x v="3"/>
    <x v="1"/>
  </r>
  <r>
    <x v="183"/>
    <s v="Meera"/>
    <s v="C103"/>
    <x v="0"/>
    <x v="150"/>
    <x v="0"/>
    <n v="10000"/>
    <x v="1"/>
    <x v="0"/>
  </r>
  <r>
    <x v="184"/>
    <s v="Karan"/>
    <s v="C102"/>
    <x v="3"/>
    <x v="151"/>
    <x v="2"/>
    <n v="5000"/>
    <x v="4"/>
    <x v="1"/>
  </r>
  <r>
    <x v="185"/>
    <s v="Ananya"/>
    <s v="C101"/>
    <x v="2"/>
    <x v="152"/>
    <x v="1"/>
    <n v="5000"/>
    <x v="2"/>
    <x v="1"/>
  </r>
  <r>
    <x v="128"/>
    <s v="Ishita"/>
    <s v="C106"/>
    <x v="6"/>
    <x v="125"/>
    <x v="2"/>
    <n v="5000"/>
    <x v="3"/>
    <x v="1"/>
  </r>
  <r>
    <x v="102"/>
    <s v="Sneha"/>
    <s v="C103"/>
    <x v="1"/>
    <x v="153"/>
    <x v="2"/>
    <n v="10000"/>
    <x v="1"/>
    <x v="1"/>
  </r>
  <r>
    <x v="83"/>
    <s v="Ananya"/>
    <s v="C108"/>
    <x v="5"/>
    <x v="154"/>
    <x v="0"/>
    <n v="12000"/>
    <x v="0"/>
    <x v="3"/>
  </r>
  <r>
    <x v="186"/>
    <s v="Aarav"/>
    <s v="C104"/>
    <x v="1"/>
    <x v="76"/>
    <x v="1"/>
    <n v="12000"/>
    <x v="3"/>
    <x v="1"/>
  </r>
  <r>
    <x v="58"/>
    <s v="Ravi"/>
    <s v="C101"/>
    <x v="6"/>
    <x v="108"/>
    <x v="1"/>
    <n v="5000"/>
    <x v="2"/>
    <x v="1"/>
  </r>
  <r>
    <x v="187"/>
    <s v="Ishita"/>
    <s v="C106"/>
    <x v="2"/>
    <x v="155"/>
    <x v="2"/>
    <n v="12000"/>
    <x v="4"/>
    <x v="1"/>
  </r>
  <r>
    <x v="188"/>
    <s v="Karan"/>
    <s v="C108"/>
    <x v="7"/>
    <x v="156"/>
    <x v="2"/>
    <n v="10000"/>
    <x v="0"/>
    <x v="1"/>
  </r>
  <r>
    <x v="189"/>
    <s v="Vikram"/>
    <s v="C102"/>
    <x v="2"/>
    <x v="157"/>
    <x v="0"/>
    <n v="10000"/>
    <x v="2"/>
    <x v="2"/>
  </r>
  <r>
    <x v="7"/>
    <s v="Sneha"/>
    <s v="C105"/>
    <x v="0"/>
    <x v="158"/>
    <x v="2"/>
    <n v="12000"/>
    <x v="1"/>
    <x v="1"/>
  </r>
  <r>
    <x v="190"/>
    <s v="Ananya"/>
    <s v="C106"/>
    <x v="7"/>
    <x v="159"/>
    <x v="2"/>
    <n v="10000"/>
    <x v="3"/>
    <x v="1"/>
  </r>
  <r>
    <x v="191"/>
    <s v="Ravi"/>
    <s v="C101"/>
    <x v="4"/>
    <x v="160"/>
    <x v="2"/>
    <n v="12000"/>
    <x v="2"/>
    <x v="1"/>
  </r>
  <r>
    <x v="192"/>
    <s v="Karan"/>
    <s v="C101"/>
    <x v="5"/>
    <x v="161"/>
    <x v="2"/>
    <n v="12000"/>
    <x v="0"/>
    <x v="1"/>
  </r>
  <r>
    <x v="77"/>
    <s v="Ishita"/>
    <s v="C104"/>
    <x v="3"/>
    <x v="141"/>
    <x v="1"/>
    <n v="5000"/>
    <x v="3"/>
    <x v="1"/>
  </r>
  <r>
    <x v="193"/>
    <s v="Ananya"/>
    <s v="C106"/>
    <x v="3"/>
    <x v="162"/>
    <x v="0"/>
    <n v="7000"/>
    <x v="3"/>
    <x v="3"/>
  </r>
  <r>
    <x v="136"/>
    <s v="Sneha"/>
    <s v="C105"/>
    <x v="6"/>
    <x v="112"/>
    <x v="0"/>
    <n v="7000"/>
    <x v="4"/>
    <x v="0"/>
  </r>
  <r>
    <x v="194"/>
    <s v="Arjun"/>
    <s v="C102"/>
    <x v="0"/>
    <x v="64"/>
    <x v="2"/>
    <n v="12000"/>
    <x v="1"/>
    <x v="1"/>
  </r>
  <r>
    <x v="39"/>
    <s v="Ravi"/>
    <s v="C108"/>
    <x v="6"/>
    <x v="163"/>
    <x v="0"/>
    <n v="5000"/>
    <x v="4"/>
    <x v="4"/>
  </r>
  <r>
    <x v="45"/>
    <s v="Ananya"/>
    <s v="C102"/>
    <x v="3"/>
    <x v="42"/>
    <x v="1"/>
    <n v="5000"/>
    <x v="3"/>
    <x v="1"/>
  </r>
  <r>
    <x v="195"/>
    <s v="Ravi"/>
    <s v="C105"/>
    <x v="5"/>
    <x v="146"/>
    <x v="2"/>
    <n v="7000"/>
    <x v="2"/>
    <x v="1"/>
  </r>
  <r>
    <x v="196"/>
    <s v="Meera"/>
    <s v="C102"/>
    <x v="6"/>
    <x v="164"/>
    <x v="0"/>
    <n v="12000"/>
    <x v="0"/>
    <x v="3"/>
  </r>
  <r>
    <x v="165"/>
    <s v="Priya"/>
    <s v="C106"/>
    <x v="7"/>
    <x v="165"/>
    <x v="0"/>
    <n v="5000"/>
    <x v="0"/>
    <x v="3"/>
  </r>
  <r>
    <x v="136"/>
    <s v="Ananya"/>
    <s v="C107"/>
    <x v="2"/>
    <x v="133"/>
    <x v="0"/>
    <n v="7000"/>
    <x v="2"/>
    <x v="2"/>
  </r>
  <r>
    <x v="197"/>
    <s v="Ananya"/>
    <s v="C106"/>
    <x v="5"/>
    <x v="165"/>
    <x v="2"/>
    <n v="7000"/>
    <x v="1"/>
    <x v="1"/>
  </r>
  <r>
    <x v="198"/>
    <s v="Arjun"/>
    <s v="C101"/>
    <x v="4"/>
    <x v="91"/>
    <x v="0"/>
    <n v="10000"/>
    <x v="1"/>
    <x v="4"/>
  </r>
  <r>
    <x v="199"/>
    <s v="Meera"/>
    <s v="C106"/>
    <x v="0"/>
    <x v="5"/>
    <x v="1"/>
    <n v="7000"/>
    <x v="3"/>
    <x v="1"/>
  </r>
  <r>
    <x v="200"/>
    <s v="Karan"/>
    <s v="C105"/>
    <x v="4"/>
    <x v="166"/>
    <x v="2"/>
    <n v="7000"/>
    <x v="3"/>
    <x v="1"/>
  </r>
  <r>
    <x v="201"/>
    <s v="Priya"/>
    <s v="C103"/>
    <x v="5"/>
    <x v="18"/>
    <x v="2"/>
    <n v="10000"/>
    <x v="3"/>
    <x v="1"/>
  </r>
  <r>
    <x v="202"/>
    <s v="Aarav"/>
    <s v="C102"/>
    <x v="1"/>
    <x v="167"/>
    <x v="2"/>
    <n v="10000"/>
    <x v="1"/>
    <x v="1"/>
  </r>
  <r>
    <x v="203"/>
    <s v="Priya"/>
    <s v="C107"/>
    <x v="1"/>
    <x v="105"/>
    <x v="2"/>
    <n v="10000"/>
    <x v="2"/>
    <x v="1"/>
  </r>
  <r>
    <x v="204"/>
    <s v="Meera"/>
    <s v="C107"/>
    <x v="0"/>
    <x v="116"/>
    <x v="0"/>
    <n v="5000"/>
    <x v="1"/>
    <x v="5"/>
  </r>
  <r>
    <x v="205"/>
    <s v="Ananya"/>
    <s v="C108"/>
    <x v="6"/>
    <x v="168"/>
    <x v="2"/>
    <n v="7000"/>
    <x v="2"/>
    <x v="1"/>
  </r>
  <r>
    <x v="206"/>
    <s v="Sneha"/>
    <s v="C106"/>
    <x v="2"/>
    <x v="169"/>
    <x v="1"/>
    <n v="5000"/>
    <x v="2"/>
    <x v="1"/>
  </r>
  <r>
    <x v="207"/>
    <s v="Ananya"/>
    <s v="C102"/>
    <x v="0"/>
    <x v="81"/>
    <x v="0"/>
    <n v="7000"/>
    <x v="0"/>
    <x v="2"/>
  </r>
  <r>
    <x v="208"/>
    <s v="Vikram"/>
    <s v="C107"/>
    <x v="6"/>
    <x v="58"/>
    <x v="1"/>
    <n v="10000"/>
    <x v="1"/>
    <x v="1"/>
  </r>
  <r>
    <x v="209"/>
    <s v="Karan"/>
    <s v="C108"/>
    <x v="7"/>
    <x v="170"/>
    <x v="1"/>
    <n v="12000"/>
    <x v="0"/>
    <x v="1"/>
  </r>
  <r>
    <x v="210"/>
    <s v="Vikram"/>
    <s v="C108"/>
    <x v="6"/>
    <x v="129"/>
    <x v="2"/>
    <n v="10000"/>
    <x v="0"/>
    <x v="1"/>
  </r>
  <r>
    <x v="137"/>
    <s v="Ravi"/>
    <s v="C108"/>
    <x v="7"/>
    <x v="108"/>
    <x v="2"/>
    <n v="5000"/>
    <x v="0"/>
    <x v="1"/>
  </r>
  <r>
    <x v="121"/>
    <s v="Karan"/>
    <s v="C105"/>
    <x v="3"/>
    <x v="171"/>
    <x v="1"/>
    <n v="5000"/>
    <x v="4"/>
    <x v="1"/>
  </r>
  <r>
    <x v="211"/>
    <s v="Priya"/>
    <s v="C104"/>
    <x v="3"/>
    <x v="13"/>
    <x v="1"/>
    <n v="5000"/>
    <x v="4"/>
    <x v="1"/>
  </r>
  <r>
    <x v="212"/>
    <s v="Ananya"/>
    <s v="C105"/>
    <x v="4"/>
    <x v="41"/>
    <x v="0"/>
    <n v="12000"/>
    <x v="2"/>
    <x v="3"/>
  </r>
  <r>
    <x v="213"/>
    <s v="Sneha"/>
    <s v="C103"/>
    <x v="6"/>
    <x v="157"/>
    <x v="2"/>
    <n v="12000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A8FF3-F0D2-4878-B325-FC526091208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12" firstHeaderRow="1" firstDataRow="1" firstDataCol="1"/>
  <pivotFields count="11">
    <pivotField dataField="1" showAll="0">
      <items count="215">
        <item x="53"/>
        <item x="98"/>
        <item x="42"/>
        <item x="126"/>
        <item x="156"/>
        <item x="23"/>
        <item x="71"/>
        <item x="44"/>
        <item x="103"/>
        <item x="202"/>
        <item x="114"/>
        <item x="132"/>
        <item x="137"/>
        <item x="211"/>
        <item x="164"/>
        <item x="27"/>
        <item x="11"/>
        <item x="80"/>
        <item x="7"/>
        <item x="168"/>
        <item x="177"/>
        <item x="1"/>
        <item x="105"/>
        <item x="210"/>
        <item x="4"/>
        <item x="170"/>
        <item x="26"/>
        <item x="29"/>
        <item x="161"/>
        <item x="147"/>
        <item x="100"/>
        <item x="107"/>
        <item x="77"/>
        <item x="155"/>
        <item x="28"/>
        <item x="150"/>
        <item x="12"/>
        <item x="94"/>
        <item x="67"/>
        <item x="193"/>
        <item x="151"/>
        <item x="33"/>
        <item x="120"/>
        <item x="78"/>
        <item x="122"/>
        <item x="162"/>
        <item x="90"/>
        <item x="173"/>
        <item x="186"/>
        <item x="41"/>
        <item x="30"/>
        <item x="10"/>
        <item x="153"/>
        <item x="49"/>
        <item x="179"/>
        <item x="182"/>
        <item x="19"/>
        <item x="207"/>
        <item x="88"/>
        <item x="129"/>
        <item x="65"/>
        <item x="36"/>
        <item x="111"/>
        <item x="187"/>
        <item x="200"/>
        <item x="84"/>
        <item x="31"/>
        <item x="157"/>
        <item x="208"/>
        <item x="199"/>
        <item x="104"/>
        <item x="68"/>
        <item x="188"/>
        <item x="171"/>
        <item x="148"/>
        <item x="50"/>
        <item x="139"/>
        <item x="125"/>
        <item x="8"/>
        <item x="18"/>
        <item x="15"/>
        <item x="110"/>
        <item x="194"/>
        <item x="133"/>
        <item x="136"/>
        <item x="22"/>
        <item x="34"/>
        <item x="108"/>
        <item x="146"/>
        <item x="205"/>
        <item x="184"/>
        <item x="13"/>
        <item x="96"/>
        <item x="57"/>
        <item x="121"/>
        <item x="198"/>
        <item x="191"/>
        <item x="52"/>
        <item x="158"/>
        <item x="135"/>
        <item x="112"/>
        <item x="181"/>
        <item x="197"/>
        <item x="74"/>
        <item x="124"/>
        <item x="37"/>
        <item x="123"/>
        <item x="106"/>
        <item x="117"/>
        <item x="75"/>
        <item x="58"/>
        <item x="60"/>
        <item x="92"/>
        <item x="204"/>
        <item x="85"/>
        <item x="61"/>
        <item x="212"/>
        <item x="172"/>
        <item x="196"/>
        <item x="109"/>
        <item x="192"/>
        <item x="35"/>
        <item x="21"/>
        <item x="160"/>
        <item x="72"/>
        <item x="130"/>
        <item x="25"/>
        <item x="195"/>
        <item x="142"/>
        <item x="165"/>
        <item x="63"/>
        <item x="213"/>
        <item x="183"/>
        <item x="32"/>
        <item x="138"/>
        <item x="163"/>
        <item x="141"/>
        <item x="169"/>
        <item x="2"/>
        <item x="152"/>
        <item x="39"/>
        <item x="64"/>
        <item x="56"/>
        <item x="127"/>
        <item x="9"/>
        <item x="0"/>
        <item x="176"/>
        <item x="166"/>
        <item x="131"/>
        <item x="134"/>
        <item x="97"/>
        <item x="54"/>
        <item x="79"/>
        <item x="167"/>
        <item x="190"/>
        <item x="55"/>
        <item x="91"/>
        <item x="99"/>
        <item x="43"/>
        <item x="66"/>
        <item x="189"/>
        <item x="5"/>
        <item x="102"/>
        <item x="47"/>
        <item x="89"/>
        <item x="140"/>
        <item x="145"/>
        <item x="87"/>
        <item x="119"/>
        <item x="76"/>
        <item x="3"/>
        <item x="20"/>
        <item x="209"/>
        <item x="154"/>
        <item x="203"/>
        <item x="16"/>
        <item x="82"/>
        <item x="62"/>
        <item x="128"/>
        <item x="95"/>
        <item x="180"/>
        <item x="86"/>
        <item x="143"/>
        <item x="178"/>
        <item x="59"/>
        <item x="93"/>
        <item x="83"/>
        <item x="149"/>
        <item x="70"/>
        <item x="48"/>
        <item x="14"/>
        <item x="206"/>
        <item x="73"/>
        <item x="159"/>
        <item x="185"/>
        <item x="38"/>
        <item x="6"/>
        <item x="40"/>
        <item x="45"/>
        <item x="24"/>
        <item x="116"/>
        <item x="113"/>
        <item x="201"/>
        <item x="101"/>
        <item x="69"/>
        <item x="144"/>
        <item x="118"/>
        <item x="81"/>
        <item x="51"/>
        <item x="115"/>
        <item x="175"/>
        <item x="174"/>
        <item x="17"/>
        <item x="46"/>
        <item t="default"/>
      </items>
    </pivotField>
    <pivotField showAll="0"/>
    <pivotField showAll="0"/>
    <pivotField axis="axisRow" showAll="0">
      <items count="9">
        <item x="7"/>
        <item x="3"/>
        <item x="4"/>
        <item x="0"/>
        <item x="6"/>
        <item x="1"/>
        <item x="5"/>
        <item x="2"/>
        <item t="default"/>
      </items>
    </pivotField>
    <pivotField numFmtId="14" showAll="0">
      <items count="173">
        <item x="21"/>
        <item x="79"/>
        <item x="148"/>
        <item x="66"/>
        <item x="107"/>
        <item x="47"/>
        <item x="1"/>
        <item x="9"/>
        <item x="159"/>
        <item x="143"/>
        <item x="6"/>
        <item x="38"/>
        <item x="29"/>
        <item x="61"/>
        <item x="121"/>
        <item x="151"/>
        <item x="30"/>
        <item x="132"/>
        <item x="80"/>
        <item x="40"/>
        <item x="5"/>
        <item x="87"/>
        <item x="63"/>
        <item x="17"/>
        <item x="88"/>
        <item x="77"/>
        <item x="149"/>
        <item x="112"/>
        <item x="90"/>
        <item x="20"/>
        <item x="163"/>
        <item x="86"/>
        <item x="41"/>
        <item x="169"/>
        <item x="110"/>
        <item x="57"/>
        <item x="154"/>
        <item x="142"/>
        <item x="164"/>
        <item x="117"/>
        <item x="58"/>
        <item x="39"/>
        <item x="43"/>
        <item x="62"/>
        <item x="83"/>
        <item x="118"/>
        <item x="28"/>
        <item x="54"/>
        <item x="131"/>
        <item x="82"/>
        <item x="129"/>
        <item x="2"/>
        <item x="75"/>
        <item x="65"/>
        <item x="144"/>
        <item x="26"/>
        <item x="71"/>
        <item x="0"/>
        <item x="25"/>
        <item x="64"/>
        <item x="85"/>
        <item x="44"/>
        <item x="128"/>
        <item x="78"/>
        <item x="94"/>
        <item x="3"/>
        <item x="114"/>
        <item x="37"/>
        <item x="35"/>
        <item x="108"/>
        <item x="124"/>
        <item x="84"/>
        <item x="136"/>
        <item x="68"/>
        <item x="76"/>
        <item x="89"/>
        <item x="103"/>
        <item x="46"/>
        <item x="96"/>
        <item x="59"/>
        <item x="168"/>
        <item x="137"/>
        <item x="4"/>
        <item x="69"/>
        <item x="135"/>
        <item x="153"/>
        <item x="141"/>
        <item x="156"/>
        <item x="139"/>
        <item x="152"/>
        <item x="126"/>
        <item x="27"/>
        <item x="98"/>
        <item x="155"/>
        <item x="171"/>
        <item x="99"/>
        <item x="24"/>
        <item x="55"/>
        <item x="51"/>
        <item x="123"/>
        <item x="150"/>
        <item x="50"/>
        <item x="14"/>
        <item x="53"/>
        <item x="162"/>
        <item x="158"/>
        <item x="81"/>
        <item x="122"/>
        <item x="116"/>
        <item x="33"/>
        <item x="45"/>
        <item x="8"/>
        <item x="67"/>
        <item x="93"/>
        <item x="23"/>
        <item x="119"/>
        <item x="106"/>
        <item x="72"/>
        <item x="16"/>
        <item x="105"/>
        <item x="170"/>
        <item x="166"/>
        <item x="147"/>
        <item x="22"/>
        <item x="73"/>
        <item x="91"/>
        <item x="130"/>
        <item x="111"/>
        <item x="34"/>
        <item x="19"/>
        <item x="52"/>
        <item x="92"/>
        <item x="165"/>
        <item x="13"/>
        <item x="11"/>
        <item x="104"/>
        <item x="127"/>
        <item x="97"/>
        <item x="133"/>
        <item x="49"/>
        <item x="95"/>
        <item x="134"/>
        <item x="70"/>
        <item x="48"/>
        <item x="157"/>
        <item x="161"/>
        <item x="120"/>
        <item x="101"/>
        <item x="31"/>
        <item x="15"/>
        <item x="109"/>
        <item x="102"/>
        <item x="167"/>
        <item x="140"/>
        <item x="74"/>
        <item x="100"/>
        <item x="10"/>
        <item x="125"/>
        <item x="18"/>
        <item x="36"/>
        <item x="42"/>
        <item x="32"/>
        <item x="160"/>
        <item x="113"/>
        <item x="145"/>
        <item x="12"/>
        <item x="115"/>
        <item x="56"/>
        <item x="7"/>
        <item x="60"/>
        <item x="138"/>
        <item x="146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StudentID" fld="0" subtotal="count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D6350-7FE7-45BC-B896-3CDDFEBFD29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D10:E14" firstHeaderRow="1" firstDataRow="1" firstDataCol="1"/>
  <pivotFields count="11">
    <pivotField dataField="1" showAll="0">
      <items count="215">
        <item x="53"/>
        <item x="98"/>
        <item x="42"/>
        <item x="126"/>
        <item x="156"/>
        <item x="23"/>
        <item x="71"/>
        <item x="44"/>
        <item x="103"/>
        <item x="202"/>
        <item x="114"/>
        <item x="132"/>
        <item x="137"/>
        <item x="211"/>
        <item x="164"/>
        <item x="27"/>
        <item x="11"/>
        <item x="80"/>
        <item x="7"/>
        <item x="168"/>
        <item x="177"/>
        <item x="1"/>
        <item x="105"/>
        <item x="210"/>
        <item x="4"/>
        <item x="170"/>
        <item x="26"/>
        <item x="29"/>
        <item x="161"/>
        <item x="147"/>
        <item x="100"/>
        <item x="107"/>
        <item x="77"/>
        <item x="155"/>
        <item x="28"/>
        <item x="150"/>
        <item x="12"/>
        <item x="94"/>
        <item x="67"/>
        <item x="193"/>
        <item x="151"/>
        <item x="33"/>
        <item x="120"/>
        <item x="78"/>
        <item x="122"/>
        <item x="162"/>
        <item x="90"/>
        <item x="173"/>
        <item x="186"/>
        <item x="41"/>
        <item x="30"/>
        <item x="10"/>
        <item x="153"/>
        <item x="49"/>
        <item x="179"/>
        <item x="182"/>
        <item x="19"/>
        <item x="207"/>
        <item x="88"/>
        <item x="129"/>
        <item x="65"/>
        <item x="36"/>
        <item x="111"/>
        <item x="187"/>
        <item x="200"/>
        <item x="84"/>
        <item x="31"/>
        <item x="157"/>
        <item x="208"/>
        <item x="199"/>
        <item x="104"/>
        <item x="68"/>
        <item x="188"/>
        <item x="171"/>
        <item x="148"/>
        <item x="50"/>
        <item x="139"/>
        <item x="125"/>
        <item x="8"/>
        <item x="18"/>
        <item x="15"/>
        <item x="110"/>
        <item x="194"/>
        <item x="133"/>
        <item x="136"/>
        <item x="22"/>
        <item x="34"/>
        <item x="108"/>
        <item x="146"/>
        <item x="205"/>
        <item x="184"/>
        <item x="13"/>
        <item x="96"/>
        <item x="57"/>
        <item x="121"/>
        <item x="198"/>
        <item x="191"/>
        <item x="52"/>
        <item x="158"/>
        <item x="135"/>
        <item x="112"/>
        <item x="181"/>
        <item x="197"/>
        <item x="74"/>
        <item x="124"/>
        <item x="37"/>
        <item x="123"/>
        <item x="106"/>
        <item x="117"/>
        <item x="75"/>
        <item x="58"/>
        <item x="60"/>
        <item x="92"/>
        <item x="204"/>
        <item x="85"/>
        <item x="61"/>
        <item x="212"/>
        <item x="172"/>
        <item x="196"/>
        <item x="109"/>
        <item x="192"/>
        <item x="35"/>
        <item x="21"/>
        <item x="160"/>
        <item x="72"/>
        <item x="130"/>
        <item x="25"/>
        <item x="195"/>
        <item x="142"/>
        <item x="165"/>
        <item x="63"/>
        <item x="213"/>
        <item x="183"/>
        <item x="32"/>
        <item x="138"/>
        <item x="163"/>
        <item x="141"/>
        <item x="169"/>
        <item x="2"/>
        <item x="152"/>
        <item x="39"/>
        <item x="64"/>
        <item x="56"/>
        <item x="127"/>
        <item x="9"/>
        <item x="0"/>
        <item x="176"/>
        <item x="166"/>
        <item x="131"/>
        <item x="134"/>
        <item x="97"/>
        <item x="54"/>
        <item x="79"/>
        <item x="167"/>
        <item x="190"/>
        <item x="55"/>
        <item x="91"/>
        <item x="99"/>
        <item x="43"/>
        <item x="66"/>
        <item x="189"/>
        <item x="5"/>
        <item x="102"/>
        <item x="47"/>
        <item x="89"/>
        <item x="140"/>
        <item x="145"/>
        <item x="87"/>
        <item x="119"/>
        <item x="76"/>
        <item x="3"/>
        <item x="20"/>
        <item x="209"/>
        <item x="154"/>
        <item x="203"/>
        <item x="16"/>
        <item x="82"/>
        <item x="62"/>
        <item x="128"/>
        <item x="95"/>
        <item x="180"/>
        <item x="86"/>
        <item x="143"/>
        <item x="178"/>
        <item x="59"/>
        <item x="93"/>
        <item x="83"/>
        <item x="149"/>
        <item x="70"/>
        <item x="48"/>
        <item x="14"/>
        <item x="206"/>
        <item x="73"/>
        <item x="159"/>
        <item x="185"/>
        <item x="38"/>
        <item x="6"/>
        <item x="40"/>
        <item x="45"/>
        <item x="24"/>
        <item x="116"/>
        <item x="113"/>
        <item x="201"/>
        <item x="101"/>
        <item x="69"/>
        <item x="144"/>
        <item x="118"/>
        <item x="81"/>
        <item x="51"/>
        <item x="115"/>
        <item x="175"/>
        <item x="174"/>
        <item x="17"/>
        <item x="46"/>
        <item t="default"/>
      </items>
    </pivotField>
    <pivotField showAll="0"/>
    <pivotField showAll="0"/>
    <pivotField showAll="0">
      <items count="9">
        <item x="7"/>
        <item x="3"/>
        <item x="4"/>
        <item x="0"/>
        <item x="6"/>
        <item x="1"/>
        <item x="5"/>
        <item x="2"/>
        <item t="default"/>
      </items>
    </pivotField>
    <pivotField numFmtId="14" showAll="0">
      <items count="173">
        <item x="21"/>
        <item x="79"/>
        <item x="148"/>
        <item x="66"/>
        <item x="107"/>
        <item x="47"/>
        <item x="1"/>
        <item x="9"/>
        <item x="159"/>
        <item x="143"/>
        <item x="6"/>
        <item x="38"/>
        <item x="29"/>
        <item x="61"/>
        <item x="121"/>
        <item x="151"/>
        <item x="30"/>
        <item x="132"/>
        <item x="80"/>
        <item x="40"/>
        <item x="5"/>
        <item x="87"/>
        <item x="63"/>
        <item x="17"/>
        <item x="88"/>
        <item x="77"/>
        <item x="149"/>
        <item x="112"/>
        <item x="90"/>
        <item x="20"/>
        <item x="163"/>
        <item x="86"/>
        <item x="41"/>
        <item x="169"/>
        <item x="110"/>
        <item x="57"/>
        <item x="154"/>
        <item x="142"/>
        <item x="164"/>
        <item x="117"/>
        <item x="58"/>
        <item x="39"/>
        <item x="43"/>
        <item x="62"/>
        <item x="83"/>
        <item x="118"/>
        <item x="28"/>
        <item x="54"/>
        <item x="131"/>
        <item x="82"/>
        <item x="129"/>
        <item x="2"/>
        <item x="75"/>
        <item x="65"/>
        <item x="144"/>
        <item x="26"/>
        <item x="71"/>
        <item x="0"/>
        <item x="25"/>
        <item x="64"/>
        <item x="85"/>
        <item x="44"/>
        <item x="128"/>
        <item x="78"/>
        <item x="94"/>
        <item x="3"/>
        <item x="114"/>
        <item x="37"/>
        <item x="35"/>
        <item x="108"/>
        <item x="124"/>
        <item x="84"/>
        <item x="136"/>
        <item x="68"/>
        <item x="76"/>
        <item x="89"/>
        <item x="103"/>
        <item x="46"/>
        <item x="96"/>
        <item x="59"/>
        <item x="168"/>
        <item x="137"/>
        <item x="4"/>
        <item x="69"/>
        <item x="135"/>
        <item x="153"/>
        <item x="141"/>
        <item x="156"/>
        <item x="139"/>
        <item x="152"/>
        <item x="126"/>
        <item x="27"/>
        <item x="98"/>
        <item x="155"/>
        <item x="171"/>
        <item x="99"/>
        <item x="24"/>
        <item x="55"/>
        <item x="51"/>
        <item x="123"/>
        <item x="150"/>
        <item x="50"/>
        <item x="14"/>
        <item x="53"/>
        <item x="162"/>
        <item x="158"/>
        <item x="81"/>
        <item x="122"/>
        <item x="116"/>
        <item x="33"/>
        <item x="45"/>
        <item x="8"/>
        <item x="67"/>
        <item x="93"/>
        <item x="23"/>
        <item x="119"/>
        <item x="106"/>
        <item x="72"/>
        <item x="16"/>
        <item x="105"/>
        <item x="170"/>
        <item x="166"/>
        <item x="147"/>
        <item x="22"/>
        <item x="73"/>
        <item x="91"/>
        <item x="130"/>
        <item x="111"/>
        <item x="34"/>
        <item x="19"/>
        <item x="52"/>
        <item x="92"/>
        <item x="165"/>
        <item x="13"/>
        <item x="11"/>
        <item x="104"/>
        <item x="127"/>
        <item x="97"/>
        <item x="133"/>
        <item x="49"/>
        <item x="95"/>
        <item x="134"/>
        <item x="70"/>
        <item x="48"/>
        <item x="157"/>
        <item x="161"/>
        <item x="120"/>
        <item x="101"/>
        <item x="31"/>
        <item x="15"/>
        <item x="109"/>
        <item x="102"/>
        <item x="167"/>
        <item x="140"/>
        <item x="74"/>
        <item x="100"/>
        <item x="10"/>
        <item x="125"/>
        <item x="18"/>
        <item x="36"/>
        <item x="42"/>
        <item x="32"/>
        <item x="160"/>
        <item x="113"/>
        <item x="145"/>
        <item x="12"/>
        <item x="115"/>
        <item x="56"/>
        <item x="7"/>
        <item x="60"/>
        <item x="138"/>
        <item x="146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udentID" fld="0" subtotal="count" baseField="0" baseItem="0"/>
  </dataFields>
  <chartFormats count="9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5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5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59F00-905C-4507-99EB-78226CFD42C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D16:H23" firstHeaderRow="1" firstDataRow="2" firstDataCol="1"/>
  <pivotFields count="11">
    <pivotField dataField="1" showAll="0">
      <items count="215">
        <item x="53"/>
        <item x="98"/>
        <item x="42"/>
        <item x="126"/>
        <item x="156"/>
        <item x="23"/>
        <item x="71"/>
        <item x="44"/>
        <item x="103"/>
        <item x="202"/>
        <item x="114"/>
        <item x="132"/>
        <item x="137"/>
        <item x="211"/>
        <item x="164"/>
        <item x="27"/>
        <item x="11"/>
        <item x="80"/>
        <item x="7"/>
        <item x="168"/>
        <item x="177"/>
        <item x="1"/>
        <item x="105"/>
        <item x="210"/>
        <item x="4"/>
        <item x="170"/>
        <item x="26"/>
        <item x="29"/>
        <item x="161"/>
        <item x="147"/>
        <item x="100"/>
        <item x="107"/>
        <item x="77"/>
        <item x="155"/>
        <item x="28"/>
        <item x="150"/>
        <item x="12"/>
        <item x="94"/>
        <item x="67"/>
        <item x="193"/>
        <item x="151"/>
        <item x="33"/>
        <item x="120"/>
        <item x="78"/>
        <item x="122"/>
        <item x="162"/>
        <item x="90"/>
        <item x="173"/>
        <item x="186"/>
        <item x="41"/>
        <item x="30"/>
        <item x="10"/>
        <item x="153"/>
        <item x="49"/>
        <item x="179"/>
        <item x="182"/>
        <item x="19"/>
        <item x="207"/>
        <item x="88"/>
        <item x="129"/>
        <item x="65"/>
        <item x="36"/>
        <item x="111"/>
        <item x="187"/>
        <item x="200"/>
        <item x="84"/>
        <item x="31"/>
        <item x="157"/>
        <item x="208"/>
        <item x="199"/>
        <item x="104"/>
        <item x="68"/>
        <item x="188"/>
        <item x="171"/>
        <item x="148"/>
        <item x="50"/>
        <item x="139"/>
        <item x="125"/>
        <item x="8"/>
        <item x="18"/>
        <item x="15"/>
        <item x="110"/>
        <item x="194"/>
        <item x="133"/>
        <item x="136"/>
        <item x="22"/>
        <item x="34"/>
        <item x="108"/>
        <item x="146"/>
        <item x="205"/>
        <item x="184"/>
        <item x="13"/>
        <item x="96"/>
        <item x="57"/>
        <item x="121"/>
        <item x="198"/>
        <item x="191"/>
        <item x="52"/>
        <item x="158"/>
        <item x="135"/>
        <item x="112"/>
        <item x="181"/>
        <item x="197"/>
        <item x="74"/>
        <item x="124"/>
        <item x="37"/>
        <item x="123"/>
        <item x="106"/>
        <item x="117"/>
        <item x="75"/>
        <item x="58"/>
        <item x="60"/>
        <item x="92"/>
        <item x="204"/>
        <item x="85"/>
        <item x="61"/>
        <item x="212"/>
        <item x="172"/>
        <item x="196"/>
        <item x="109"/>
        <item x="192"/>
        <item x="35"/>
        <item x="21"/>
        <item x="160"/>
        <item x="72"/>
        <item x="130"/>
        <item x="25"/>
        <item x="195"/>
        <item x="142"/>
        <item x="165"/>
        <item x="63"/>
        <item x="213"/>
        <item x="183"/>
        <item x="32"/>
        <item x="138"/>
        <item x="163"/>
        <item x="141"/>
        <item x="169"/>
        <item x="2"/>
        <item x="152"/>
        <item x="39"/>
        <item x="64"/>
        <item x="56"/>
        <item x="127"/>
        <item x="9"/>
        <item x="0"/>
        <item x="176"/>
        <item x="166"/>
        <item x="131"/>
        <item x="134"/>
        <item x="97"/>
        <item x="54"/>
        <item x="79"/>
        <item x="167"/>
        <item x="190"/>
        <item x="55"/>
        <item x="91"/>
        <item x="99"/>
        <item x="43"/>
        <item x="66"/>
        <item x="189"/>
        <item x="5"/>
        <item x="102"/>
        <item x="47"/>
        <item x="89"/>
        <item x="140"/>
        <item x="145"/>
        <item x="87"/>
        <item x="119"/>
        <item x="76"/>
        <item x="3"/>
        <item x="20"/>
        <item x="209"/>
        <item x="154"/>
        <item x="203"/>
        <item x="16"/>
        <item x="82"/>
        <item x="62"/>
        <item x="128"/>
        <item x="95"/>
        <item x="180"/>
        <item x="86"/>
        <item x="143"/>
        <item x="178"/>
        <item x="59"/>
        <item x="93"/>
        <item x="83"/>
        <item x="149"/>
        <item x="70"/>
        <item x="48"/>
        <item x="14"/>
        <item x="206"/>
        <item x="73"/>
        <item x="159"/>
        <item x="185"/>
        <item x="38"/>
        <item x="6"/>
        <item x="40"/>
        <item x="45"/>
        <item x="24"/>
        <item x="116"/>
        <item x="113"/>
        <item x="201"/>
        <item x="101"/>
        <item x="69"/>
        <item x="144"/>
        <item x="118"/>
        <item x="81"/>
        <item x="51"/>
        <item x="115"/>
        <item x="175"/>
        <item x="174"/>
        <item x="17"/>
        <item x="46"/>
        <item t="default"/>
      </items>
    </pivotField>
    <pivotField showAll="0"/>
    <pivotField showAll="0"/>
    <pivotField showAll="0">
      <items count="9">
        <item x="7"/>
        <item x="3"/>
        <item x="4"/>
        <item x="0"/>
        <item x="6"/>
        <item x="1"/>
        <item x="5"/>
        <item x="2"/>
        <item t="default"/>
      </items>
    </pivotField>
    <pivotField numFmtId="14" showAll="0">
      <items count="173">
        <item x="21"/>
        <item x="79"/>
        <item x="148"/>
        <item x="66"/>
        <item x="107"/>
        <item x="47"/>
        <item x="1"/>
        <item x="9"/>
        <item x="159"/>
        <item x="143"/>
        <item x="6"/>
        <item x="38"/>
        <item x="29"/>
        <item x="61"/>
        <item x="121"/>
        <item x="151"/>
        <item x="30"/>
        <item x="132"/>
        <item x="80"/>
        <item x="40"/>
        <item x="5"/>
        <item x="87"/>
        <item x="63"/>
        <item x="17"/>
        <item x="88"/>
        <item x="77"/>
        <item x="149"/>
        <item x="112"/>
        <item x="90"/>
        <item x="20"/>
        <item x="163"/>
        <item x="86"/>
        <item x="41"/>
        <item x="169"/>
        <item x="110"/>
        <item x="57"/>
        <item x="154"/>
        <item x="142"/>
        <item x="164"/>
        <item x="117"/>
        <item x="58"/>
        <item x="39"/>
        <item x="43"/>
        <item x="62"/>
        <item x="83"/>
        <item x="118"/>
        <item x="28"/>
        <item x="54"/>
        <item x="131"/>
        <item x="82"/>
        <item x="129"/>
        <item x="2"/>
        <item x="75"/>
        <item x="65"/>
        <item x="144"/>
        <item x="26"/>
        <item x="71"/>
        <item x="0"/>
        <item x="25"/>
        <item x="64"/>
        <item x="85"/>
        <item x="44"/>
        <item x="128"/>
        <item x="78"/>
        <item x="94"/>
        <item x="3"/>
        <item x="114"/>
        <item x="37"/>
        <item x="35"/>
        <item x="108"/>
        <item x="124"/>
        <item x="84"/>
        <item x="136"/>
        <item x="68"/>
        <item x="76"/>
        <item x="89"/>
        <item x="103"/>
        <item x="46"/>
        <item x="96"/>
        <item x="59"/>
        <item x="168"/>
        <item x="137"/>
        <item x="4"/>
        <item x="69"/>
        <item x="135"/>
        <item x="153"/>
        <item x="141"/>
        <item x="156"/>
        <item x="139"/>
        <item x="152"/>
        <item x="126"/>
        <item x="27"/>
        <item x="98"/>
        <item x="155"/>
        <item x="171"/>
        <item x="99"/>
        <item x="24"/>
        <item x="55"/>
        <item x="51"/>
        <item x="123"/>
        <item x="150"/>
        <item x="50"/>
        <item x="14"/>
        <item x="53"/>
        <item x="162"/>
        <item x="158"/>
        <item x="81"/>
        <item x="122"/>
        <item x="116"/>
        <item x="33"/>
        <item x="45"/>
        <item x="8"/>
        <item x="67"/>
        <item x="93"/>
        <item x="23"/>
        <item x="119"/>
        <item x="106"/>
        <item x="72"/>
        <item x="16"/>
        <item x="105"/>
        <item x="170"/>
        <item x="166"/>
        <item x="147"/>
        <item x="22"/>
        <item x="73"/>
        <item x="91"/>
        <item x="130"/>
        <item x="111"/>
        <item x="34"/>
        <item x="19"/>
        <item x="52"/>
        <item x="92"/>
        <item x="165"/>
        <item x="13"/>
        <item x="11"/>
        <item x="104"/>
        <item x="127"/>
        <item x="97"/>
        <item x="133"/>
        <item x="49"/>
        <item x="95"/>
        <item x="134"/>
        <item x="70"/>
        <item x="48"/>
        <item x="157"/>
        <item x="161"/>
        <item x="120"/>
        <item x="101"/>
        <item x="31"/>
        <item x="15"/>
        <item x="109"/>
        <item x="102"/>
        <item x="167"/>
        <item x="140"/>
        <item x="74"/>
        <item x="100"/>
        <item x="10"/>
        <item x="125"/>
        <item x="18"/>
        <item x="36"/>
        <item x="42"/>
        <item x="32"/>
        <item x="160"/>
        <item x="113"/>
        <item x="145"/>
        <item x="12"/>
        <item x="115"/>
        <item x="56"/>
        <item x="7"/>
        <item x="60"/>
        <item x="138"/>
        <item x="146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StudentID" fld="0" subtotal="count" baseField="0" baseItem="0"/>
  </dataFields>
  <chartFormats count="6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5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5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5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568841-1608-4774-BAE4-F6054C29020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E5:F18" firstHeaderRow="1" firstDataRow="1" firstDataCol="1"/>
  <pivotFields count="11">
    <pivotField dataField="1" showAll="0">
      <items count="215">
        <item x="53"/>
        <item x="98"/>
        <item x="42"/>
        <item x="126"/>
        <item x="156"/>
        <item x="23"/>
        <item x="71"/>
        <item x="44"/>
        <item x="103"/>
        <item x="202"/>
        <item x="114"/>
        <item x="132"/>
        <item x="137"/>
        <item x="211"/>
        <item x="164"/>
        <item x="27"/>
        <item x="11"/>
        <item x="80"/>
        <item x="7"/>
        <item x="168"/>
        <item x="177"/>
        <item x="1"/>
        <item x="105"/>
        <item x="210"/>
        <item x="4"/>
        <item x="170"/>
        <item x="26"/>
        <item x="29"/>
        <item x="161"/>
        <item x="147"/>
        <item x="100"/>
        <item x="107"/>
        <item x="77"/>
        <item x="155"/>
        <item x="28"/>
        <item x="150"/>
        <item x="12"/>
        <item x="94"/>
        <item x="67"/>
        <item x="193"/>
        <item x="151"/>
        <item x="33"/>
        <item x="120"/>
        <item x="78"/>
        <item x="122"/>
        <item x="162"/>
        <item x="90"/>
        <item x="173"/>
        <item x="186"/>
        <item x="41"/>
        <item x="30"/>
        <item x="10"/>
        <item x="153"/>
        <item x="49"/>
        <item x="179"/>
        <item x="182"/>
        <item x="19"/>
        <item x="207"/>
        <item x="88"/>
        <item x="129"/>
        <item x="65"/>
        <item x="36"/>
        <item x="111"/>
        <item x="187"/>
        <item x="200"/>
        <item x="84"/>
        <item x="31"/>
        <item x="157"/>
        <item x="208"/>
        <item x="199"/>
        <item x="104"/>
        <item x="68"/>
        <item x="188"/>
        <item x="171"/>
        <item x="148"/>
        <item x="50"/>
        <item x="139"/>
        <item x="125"/>
        <item x="8"/>
        <item x="18"/>
        <item x="15"/>
        <item x="110"/>
        <item x="194"/>
        <item x="133"/>
        <item x="136"/>
        <item x="22"/>
        <item x="34"/>
        <item x="108"/>
        <item x="146"/>
        <item x="205"/>
        <item x="184"/>
        <item x="13"/>
        <item x="96"/>
        <item x="57"/>
        <item x="121"/>
        <item x="198"/>
        <item x="191"/>
        <item x="52"/>
        <item x="158"/>
        <item x="135"/>
        <item x="112"/>
        <item x="181"/>
        <item x="197"/>
        <item x="74"/>
        <item x="124"/>
        <item x="37"/>
        <item x="123"/>
        <item x="106"/>
        <item x="117"/>
        <item x="75"/>
        <item x="58"/>
        <item x="60"/>
        <item x="92"/>
        <item x="204"/>
        <item x="85"/>
        <item x="61"/>
        <item x="212"/>
        <item x="172"/>
        <item x="196"/>
        <item x="109"/>
        <item x="192"/>
        <item x="35"/>
        <item x="21"/>
        <item x="160"/>
        <item x="72"/>
        <item x="130"/>
        <item x="25"/>
        <item x="195"/>
        <item x="142"/>
        <item x="165"/>
        <item x="63"/>
        <item x="213"/>
        <item x="183"/>
        <item x="32"/>
        <item x="138"/>
        <item x="163"/>
        <item x="141"/>
        <item x="169"/>
        <item x="2"/>
        <item x="152"/>
        <item x="39"/>
        <item x="64"/>
        <item x="56"/>
        <item x="127"/>
        <item x="9"/>
        <item x="0"/>
        <item x="176"/>
        <item x="166"/>
        <item x="131"/>
        <item x="134"/>
        <item x="97"/>
        <item x="54"/>
        <item x="79"/>
        <item x="167"/>
        <item x="190"/>
        <item x="55"/>
        <item x="91"/>
        <item x="99"/>
        <item x="43"/>
        <item x="66"/>
        <item x="189"/>
        <item x="5"/>
        <item x="102"/>
        <item x="47"/>
        <item x="89"/>
        <item x="140"/>
        <item x="145"/>
        <item x="87"/>
        <item x="119"/>
        <item x="76"/>
        <item x="3"/>
        <item x="20"/>
        <item x="209"/>
        <item x="154"/>
        <item x="203"/>
        <item x="16"/>
        <item x="82"/>
        <item x="62"/>
        <item x="128"/>
        <item x="95"/>
        <item x="180"/>
        <item x="86"/>
        <item x="143"/>
        <item x="178"/>
        <item x="59"/>
        <item x="93"/>
        <item x="83"/>
        <item x="149"/>
        <item x="70"/>
        <item x="48"/>
        <item x="14"/>
        <item x="206"/>
        <item x="73"/>
        <item x="159"/>
        <item x="185"/>
        <item x="38"/>
        <item x="6"/>
        <item x="40"/>
        <item x="45"/>
        <item x="24"/>
        <item x="116"/>
        <item x="113"/>
        <item x="201"/>
        <item x="101"/>
        <item x="69"/>
        <item x="144"/>
        <item x="118"/>
        <item x="81"/>
        <item x="51"/>
        <item x="115"/>
        <item x="175"/>
        <item x="174"/>
        <item x="17"/>
        <item x="46"/>
        <item t="default"/>
      </items>
    </pivotField>
    <pivotField showAll="0"/>
    <pivotField showAll="0"/>
    <pivotField showAll="0">
      <items count="9">
        <item x="7"/>
        <item x="3"/>
        <item x="4"/>
        <item x="0"/>
        <item x="6"/>
        <item x="1"/>
        <item x="5"/>
        <item x="2"/>
        <item t="default"/>
      </items>
    </pivotField>
    <pivotField numFmtId="14" showAll="0">
      <items count="173">
        <item x="21"/>
        <item x="79"/>
        <item x="148"/>
        <item x="66"/>
        <item x="107"/>
        <item x="47"/>
        <item x="1"/>
        <item x="9"/>
        <item x="159"/>
        <item x="143"/>
        <item x="6"/>
        <item x="38"/>
        <item x="29"/>
        <item x="61"/>
        <item x="121"/>
        <item x="151"/>
        <item x="30"/>
        <item x="132"/>
        <item x="80"/>
        <item x="40"/>
        <item x="5"/>
        <item x="87"/>
        <item x="63"/>
        <item x="17"/>
        <item x="88"/>
        <item x="77"/>
        <item x="149"/>
        <item x="112"/>
        <item x="90"/>
        <item x="20"/>
        <item x="163"/>
        <item x="86"/>
        <item x="41"/>
        <item x="169"/>
        <item x="110"/>
        <item x="57"/>
        <item x="154"/>
        <item x="142"/>
        <item x="164"/>
        <item x="117"/>
        <item x="58"/>
        <item x="39"/>
        <item x="43"/>
        <item x="62"/>
        <item x="83"/>
        <item x="118"/>
        <item x="28"/>
        <item x="54"/>
        <item x="131"/>
        <item x="82"/>
        <item x="129"/>
        <item x="2"/>
        <item x="75"/>
        <item x="65"/>
        <item x="144"/>
        <item x="26"/>
        <item x="71"/>
        <item x="0"/>
        <item x="25"/>
        <item x="64"/>
        <item x="85"/>
        <item x="44"/>
        <item x="128"/>
        <item x="78"/>
        <item x="94"/>
        <item x="3"/>
        <item x="114"/>
        <item x="37"/>
        <item x="35"/>
        <item x="108"/>
        <item x="124"/>
        <item x="84"/>
        <item x="136"/>
        <item x="68"/>
        <item x="76"/>
        <item x="89"/>
        <item x="103"/>
        <item x="46"/>
        <item x="96"/>
        <item x="59"/>
        <item x="168"/>
        <item x="137"/>
        <item x="4"/>
        <item x="69"/>
        <item x="135"/>
        <item x="153"/>
        <item x="141"/>
        <item x="156"/>
        <item x="139"/>
        <item x="152"/>
        <item x="126"/>
        <item x="27"/>
        <item x="98"/>
        <item x="155"/>
        <item x="171"/>
        <item x="99"/>
        <item x="24"/>
        <item x="55"/>
        <item x="51"/>
        <item x="123"/>
        <item x="150"/>
        <item x="50"/>
        <item x="14"/>
        <item x="53"/>
        <item x="162"/>
        <item x="158"/>
        <item x="81"/>
        <item x="122"/>
        <item x="116"/>
        <item x="33"/>
        <item x="45"/>
        <item x="8"/>
        <item x="67"/>
        <item x="93"/>
        <item x="23"/>
        <item x="119"/>
        <item x="106"/>
        <item x="72"/>
        <item x="16"/>
        <item x="105"/>
        <item x="170"/>
        <item x="166"/>
        <item x="147"/>
        <item x="22"/>
        <item x="73"/>
        <item x="91"/>
        <item x="130"/>
        <item x="111"/>
        <item x="34"/>
        <item x="19"/>
        <item x="52"/>
        <item x="92"/>
        <item x="165"/>
        <item x="13"/>
        <item x="11"/>
        <item x="104"/>
        <item x="127"/>
        <item x="97"/>
        <item x="133"/>
        <item x="49"/>
        <item x="95"/>
        <item x="134"/>
        <item x="70"/>
        <item x="48"/>
        <item x="157"/>
        <item x="161"/>
        <item x="120"/>
        <item x="101"/>
        <item x="31"/>
        <item x="15"/>
        <item x="109"/>
        <item x="102"/>
        <item x="167"/>
        <item x="140"/>
        <item x="74"/>
        <item x="100"/>
        <item x="10"/>
        <item x="125"/>
        <item x="18"/>
        <item x="36"/>
        <item x="42"/>
        <item x="32"/>
        <item x="160"/>
        <item x="113"/>
        <item x="145"/>
        <item x="12"/>
        <item x="115"/>
        <item x="56"/>
        <item x="7"/>
        <item x="60"/>
        <item x="138"/>
        <item x="146"/>
        <item t="default"/>
      </items>
    </pivotField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StudentID" fld="0" subtotal="count" baseField="0" baseItem="0"/>
  </dataField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1B665-0063-4C9E-8E3A-222DB04C2B5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C10:D14" firstHeaderRow="1" firstDataRow="1" firstDataCol="1"/>
  <pivotFields count="11">
    <pivotField showAll="0">
      <items count="215">
        <item x="53"/>
        <item x="98"/>
        <item x="42"/>
        <item x="126"/>
        <item x="156"/>
        <item x="23"/>
        <item x="71"/>
        <item x="44"/>
        <item x="103"/>
        <item x="202"/>
        <item x="114"/>
        <item x="132"/>
        <item x="137"/>
        <item x="211"/>
        <item x="164"/>
        <item x="27"/>
        <item x="11"/>
        <item x="80"/>
        <item x="7"/>
        <item x="168"/>
        <item x="177"/>
        <item x="1"/>
        <item x="105"/>
        <item x="210"/>
        <item x="4"/>
        <item x="170"/>
        <item x="26"/>
        <item x="29"/>
        <item x="161"/>
        <item x="147"/>
        <item x="100"/>
        <item x="107"/>
        <item x="77"/>
        <item x="155"/>
        <item x="28"/>
        <item x="150"/>
        <item x="12"/>
        <item x="94"/>
        <item x="67"/>
        <item x="193"/>
        <item x="151"/>
        <item x="33"/>
        <item x="120"/>
        <item x="78"/>
        <item x="122"/>
        <item x="162"/>
        <item x="90"/>
        <item x="173"/>
        <item x="186"/>
        <item x="41"/>
        <item x="30"/>
        <item x="10"/>
        <item x="153"/>
        <item x="49"/>
        <item x="179"/>
        <item x="182"/>
        <item x="19"/>
        <item x="207"/>
        <item x="88"/>
        <item x="129"/>
        <item x="65"/>
        <item x="36"/>
        <item x="111"/>
        <item x="187"/>
        <item x="200"/>
        <item x="84"/>
        <item x="31"/>
        <item x="157"/>
        <item x="208"/>
        <item x="199"/>
        <item x="104"/>
        <item x="68"/>
        <item x="188"/>
        <item x="171"/>
        <item x="148"/>
        <item x="50"/>
        <item x="139"/>
        <item x="125"/>
        <item x="8"/>
        <item x="18"/>
        <item x="15"/>
        <item x="110"/>
        <item x="194"/>
        <item x="133"/>
        <item x="136"/>
        <item x="22"/>
        <item x="34"/>
        <item x="108"/>
        <item x="146"/>
        <item x="205"/>
        <item x="184"/>
        <item x="13"/>
        <item x="96"/>
        <item x="57"/>
        <item x="121"/>
        <item x="198"/>
        <item x="191"/>
        <item x="52"/>
        <item x="158"/>
        <item x="135"/>
        <item x="112"/>
        <item x="181"/>
        <item x="197"/>
        <item x="74"/>
        <item x="124"/>
        <item x="37"/>
        <item x="123"/>
        <item x="106"/>
        <item x="117"/>
        <item x="75"/>
        <item x="58"/>
        <item x="60"/>
        <item x="92"/>
        <item x="204"/>
        <item x="85"/>
        <item x="61"/>
        <item x="212"/>
        <item x="172"/>
        <item x="196"/>
        <item x="109"/>
        <item x="192"/>
        <item x="35"/>
        <item x="21"/>
        <item x="160"/>
        <item x="72"/>
        <item x="130"/>
        <item x="25"/>
        <item x="195"/>
        <item x="142"/>
        <item x="165"/>
        <item x="63"/>
        <item x="213"/>
        <item x="183"/>
        <item x="32"/>
        <item x="138"/>
        <item x="163"/>
        <item x="141"/>
        <item x="169"/>
        <item x="2"/>
        <item x="152"/>
        <item x="39"/>
        <item x="64"/>
        <item x="56"/>
        <item x="127"/>
        <item x="9"/>
        <item x="0"/>
        <item x="176"/>
        <item x="166"/>
        <item x="131"/>
        <item x="134"/>
        <item x="97"/>
        <item x="54"/>
        <item x="79"/>
        <item x="167"/>
        <item x="190"/>
        <item x="55"/>
        <item x="91"/>
        <item x="99"/>
        <item x="43"/>
        <item x="66"/>
        <item x="189"/>
        <item x="5"/>
        <item x="102"/>
        <item x="47"/>
        <item x="89"/>
        <item x="140"/>
        <item x="145"/>
        <item x="87"/>
        <item x="119"/>
        <item x="76"/>
        <item x="3"/>
        <item x="20"/>
        <item x="209"/>
        <item x="154"/>
        <item x="203"/>
        <item x="16"/>
        <item x="82"/>
        <item x="62"/>
        <item x="128"/>
        <item x="95"/>
        <item x="180"/>
        <item x="86"/>
        <item x="143"/>
        <item x="178"/>
        <item x="59"/>
        <item x="93"/>
        <item x="83"/>
        <item x="149"/>
        <item x="70"/>
        <item x="48"/>
        <item x="14"/>
        <item x="206"/>
        <item x="73"/>
        <item x="159"/>
        <item x="185"/>
        <item x="38"/>
        <item x="6"/>
        <item x="40"/>
        <item x="45"/>
        <item x="24"/>
        <item x="116"/>
        <item x="113"/>
        <item x="201"/>
        <item x="101"/>
        <item x="69"/>
        <item x="144"/>
        <item x="118"/>
        <item x="81"/>
        <item x="51"/>
        <item x="115"/>
        <item x="175"/>
        <item x="174"/>
        <item x="17"/>
        <item x="46"/>
        <item t="default"/>
      </items>
    </pivotField>
    <pivotField showAll="0"/>
    <pivotField showAll="0"/>
    <pivotField showAll="0">
      <items count="9">
        <item x="7"/>
        <item x="3"/>
        <item x="4"/>
        <item x="0"/>
        <item x="6"/>
        <item x="1"/>
        <item x="5"/>
        <item x="2"/>
        <item t="default"/>
      </items>
    </pivotField>
    <pivotField numFmtId="14" showAll="0">
      <items count="173">
        <item x="21"/>
        <item x="79"/>
        <item x="148"/>
        <item x="66"/>
        <item x="107"/>
        <item x="47"/>
        <item x="1"/>
        <item x="9"/>
        <item x="159"/>
        <item x="143"/>
        <item x="6"/>
        <item x="38"/>
        <item x="29"/>
        <item x="61"/>
        <item x="121"/>
        <item x="151"/>
        <item x="30"/>
        <item x="132"/>
        <item x="80"/>
        <item x="40"/>
        <item x="5"/>
        <item x="87"/>
        <item x="63"/>
        <item x="17"/>
        <item x="88"/>
        <item x="77"/>
        <item x="149"/>
        <item x="112"/>
        <item x="90"/>
        <item x="20"/>
        <item x="163"/>
        <item x="86"/>
        <item x="41"/>
        <item x="169"/>
        <item x="110"/>
        <item x="57"/>
        <item x="154"/>
        <item x="142"/>
        <item x="164"/>
        <item x="117"/>
        <item x="58"/>
        <item x="39"/>
        <item x="43"/>
        <item x="62"/>
        <item x="83"/>
        <item x="118"/>
        <item x="28"/>
        <item x="54"/>
        <item x="131"/>
        <item x="82"/>
        <item x="129"/>
        <item x="2"/>
        <item x="75"/>
        <item x="65"/>
        <item x="144"/>
        <item x="26"/>
        <item x="71"/>
        <item x="0"/>
        <item x="25"/>
        <item x="64"/>
        <item x="85"/>
        <item x="44"/>
        <item x="128"/>
        <item x="78"/>
        <item x="94"/>
        <item x="3"/>
        <item x="114"/>
        <item x="37"/>
        <item x="35"/>
        <item x="108"/>
        <item x="124"/>
        <item x="84"/>
        <item x="136"/>
        <item x="68"/>
        <item x="76"/>
        <item x="89"/>
        <item x="103"/>
        <item x="46"/>
        <item x="96"/>
        <item x="59"/>
        <item x="168"/>
        <item x="137"/>
        <item x="4"/>
        <item x="69"/>
        <item x="135"/>
        <item x="153"/>
        <item x="141"/>
        <item x="156"/>
        <item x="139"/>
        <item x="152"/>
        <item x="126"/>
        <item x="27"/>
        <item x="98"/>
        <item x="155"/>
        <item x="171"/>
        <item x="99"/>
        <item x="24"/>
        <item x="55"/>
        <item x="51"/>
        <item x="123"/>
        <item x="150"/>
        <item x="50"/>
        <item x="14"/>
        <item x="53"/>
        <item x="162"/>
        <item x="158"/>
        <item x="81"/>
        <item x="122"/>
        <item x="116"/>
        <item x="33"/>
        <item x="45"/>
        <item x="8"/>
        <item x="67"/>
        <item x="93"/>
        <item x="23"/>
        <item x="119"/>
        <item x="106"/>
        <item x="72"/>
        <item x="16"/>
        <item x="105"/>
        <item x="170"/>
        <item x="166"/>
        <item x="147"/>
        <item x="22"/>
        <item x="73"/>
        <item x="91"/>
        <item x="130"/>
        <item x="111"/>
        <item x="34"/>
        <item x="19"/>
        <item x="52"/>
        <item x="92"/>
        <item x="165"/>
        <item x="13"/>
        <item x="11"/>
        <item x="104"/>
        <item x="127"/>
        <item x="97"/>
        <item x="133"/>
        <item x="49"/>
        <item x="95"/>
        <item x="134"/>
        <item x="70"/>
        <item x="48"/>
        <item x="157"/>
        <item x="161"/>
        <item x="120"/>
        <item x="101"/>
        <item x="31"/>
        <item x="15"/>
        <item x="109"/>
        <item x="102"/>
        <item x="167"/>
        <item x="140"/>
        <item x="74"/>
        <item x="100"/>
        <item x="10"/>
        <item x="125"/>
        <item x="18"/>
        <item x="36"/>
        <item x="42"/>
        <item x="32"/>
        <item x="160"/>
        <item x="113"/>
        <item x="145"/>
        <item x="12"/>
        <item x="115"/>
        <item x="56"/>
        <item x="7"/>
        <item x="60"/>
        <item x="138"/>
        <item x="146"/>
        <item t="default"/>
      </items>
    </pivotField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ourseFee" fld="6" baseField="0" baseItem="0"/>
  </dataFields>
  <chartFormats count="8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D0160-F8AD-4A4E-9D1D-BEB8C1ADE4C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E12:F18" firstHeaderRow="1" firstDataRow="1" firstDataCol="1"/>
  <pivotFields count="11">
    <pivotField showAll="0">
      <items count="215">
        <item x="53"/>
        <item x="98"/>
        <item x="42"/>
        <item x="126"/>
        <item x="156"/>
        <item x="23"/>
        <item x="71"/>
        <item x="44"/>
        <item x="103"/>
        <item x="202"/>
        <item x="114"/>
        <item x="132"/>
        <item x="137"/>
        <item x="211"/>
        <item x="164"/>
        <item x="27"/>
        <item x="11"/>
        <item x="80"/>
        <item x="7"/>
        <item x="168"/>
        <item x="177"/>
        <item x="1"/>
        <item x="105"/>
        <item x="210"/>
        <item x="4"/>
        <item x="170"/>
        <item x="26"/>
        <item x="29"/>
        <item x="161"/>
        <item x="147"/>
        <item x="100"/>
        <item x="107"/>
        <item x="77"/>
        <item x="155"/>
        <item x="28"/>
        <item x="150"/>
        <item x="12"/>
        <item x="94"/>
        <item x="67"/>
        <item x="193"/>
        <item x="151"/>
        <item x="33"/>
        <item x="120"/>
        <item x="78"/>
        <item x="122"/>
        <item x="162"/>
        <item x="90"/>
        <item x="173"/>
        <item x="186"/>
        <item x="41"/>
        <item x="30"/>
        <item x="10"/>
        <item x="153"/>
        <item x="49"/>
        <item x="179"/>
        <item x="182"/>
        <item x="19"/>
        <item x="207"/>
        <item x="88"/>
        <item x="129"/>
        <item x="65"/>
        <item x="36"/>
        <item x="111"/>
        <item x="187"/>
        <item x="200"/>
        <item x="84"/>
        <item x="31"/>
        <item x="157"/>
        <item x="208"/>
        <item x="199"/>
        <item x="104"/>
        <item x="68"/>
        <item x="188"/>
        <item x="171"/>
        <item x="148"/>
        <item x="50"/>
        <item x="139"/>
        <item x="125"/>
        <item x="8"/>
        <item x="18"/>
        <item x="15"/>
        <item x="110"/>
        <item x="194"/>
        <item x="133"/>
        <item x="136"/>
        <item x="22"/>
        <item x="34"/>
        <item x="108"/>
        <item x="146"/>
        <item x="205"/>
        <item x="184"/>
        <item x="13"/>
        <item x="96"/>
        <item x="57"/>
        <item x="121"/>
        <item x="198"/>
        <item x="191"/>
        <item x="52"/>
        <item x="158"/>
        <item x="135"/>
        <item x="112"/>
        <item x="181"/>
        <item x="197"/>
        <item x="74"/>
        <item x="124"/>
        <item x="37"/>
        <item x="123"/>
        <item x="106"/>
        <item x="117"/>
        <item x="75"/>
        <item x="58"/>
        <item x="60"/>
        <item x="92"/>
        <item x="204"/>
        <item x="85"/>
        <item x="61"/>
        <item x="212"/>
        <item x="172"/>
        <item x="196"/>
        <item x="109"/>
        <item x="192"/>
        <item x="35"/>
        <item x="21"/>
        <item x="160"/>
        <item x="72"/>
        <item x="130"/>
        <item x="25"/>
        <item x="195"/>
        <item x="142"/>
        <item x="165"/>
        <item x="63"/>
        <item x="213"/>
        <item x="183"/>
        <item x="32"/>
        <item x="138"/>
        <item x="163"/>
        <item x="141"/>
        <item x="169"/>
        <item x="2"/>
        <item x="152"/>
        <item x="39"/>
        <item x="64"/>
        <item x="56"/>
        <item x="127"/>
        <item x="9"/>
        <item x="0"/>
        <item x="176"/>
        <item x="166"/>
        <item x="131"/>
        <item x="134"/>
        <item x="97"/>
        <item x="54"/>
        <item x="79"/>
        <item x="167"/>
        <item x="190"/>
        <item x="55"/>
        <item x="91"/>
        <item x="99"/>
        <item x="43"/>
        <item x="66"/>
        <item x="189"/>
        <item x="5"/>
        <item x="102"/>
        <item x="47"/>
        <item x="89"/>
        <item x="140"/>
        <item x="145"/>
        <item x="87"/>
        <item x="119"/>
        <item x="76"/>
        <item x="3"/>
        <item x="20"/>
        <item x="209"/>
        <item x="154"/>
        <item x="203"/>
        <item x="16"/>
        <item x="82"/>
        <item x="62"/>
        <item x="128"/>
        <item x="95"/>
        <item x="180"/>
        <item x="86"/>
        <item x="143"/>
        <item x="178"/>
        <item x="59"/>
        <item x="93"/>
        <item x="83"/>
        <item x="149"/>
        <item x="70"/>
        <item x="48"/>
        <item x="14"/>
        <item x="206"/>
        <item x="73"/>
        <item x="159"/>
        <item x="185"/>
        <item x="38"/>
        <item x="6"/>
        <item x="40"/>
        <item x="45"/>
        <item x="24"/>
        <item x="116"/>
        <item x="113"/>
        <item x="201"/>
        <item x="101"/>
        <item x="69"/>
        <item x="144"/>
        <item x="118"/>
        <item x="81"/>
        <item x="51"/>
        <item x="115"/>
        <item x="175"/>
        <item x="174"/>
        <item x="17"/>
        <item x="46"/>
        <item t="default"/>
      </items>
    </pivotField>
    <pivotField showAll="0"/>
    <pivotField showAll="0"/>
    <pivotField showAll="0">
      <items count="9">
        <item x="7"/>
        <item x="3"/>
        <item x="4"/>
        <item x="0"/>
        <item x="6"/>
        <item x="1"/>
        <item x="5"/>
        <item x="2"/>
        <item t="default"/>
      </items>
    </pivotField>
    <pivotField numFmtId="14" showAll="0">
      <items count="173">
        <item x="21"/>
        <item x="79"/>
        <item x="148"/>
        <item x="66"/>
        <item x="107"/>
        <item x="47"/>
        <item x="1"/>
        <item x="9"/>
        <item x="159"/>
        <item x="143"/>
        <item x="6"/>
        <item x="38"/>
        <item x="29"/>
        <item x="61"/>
        <item x="121"/>
        <item x="151"/>
        <item x="30"/>
        <item x="132"/>
        <item x="80"/>
        <item x="40"/>
        <item x="5"/>
        <item x="87"/>
        <item x="63"/>
        <item x="17"/>
        <item x="88"/>
        <item x="77"/>
        <item x="149"/>
        <item x="112"/>
        <item x="90"/>
        <item x="20"/>
        <item x="163"/>
        <item x="86"/>
        <item x="41"/>
        <item x="169"/>
        <item x="110"/>
        <item x="57"/>
        <item x="154"/>
        <item x="142"/>
        <item x="164"/>
        <item x="117"/>
        <item x="58"/>
        <item x="39"/>
        <item x="43"/>
        <item x="62"/>
        <item x="83"/>
        <item x="118"/>
        <item x="28"/>
        <item x="54"/>
        <item x="131"/>
        <item x="82"/>
        <item x="129"/>
        <item x="2"/>
        <item x="75"/>
        <item x="65"/>
        <item x="144"/>
        <item x="26"/>
        <item x="71"/>
        <item x="0"/>
        <item x="25"/>
        <item x="64"/>
        <item x="85"/>
        <item x="44"/>
        <item x="128"/>
        <item x="78"/>
        <item x="94"/>
        <item x="3"/>
        <item x="114"/>
        <item x="37"/>
        <item x="35"/>
        <item x="108"/>
        <item x="124"/>
        <item x="84"/>
        <item x="136"/>
        <item x="68"/>
        <item x="76"/>
        <item x="89"/>
        <item x="103"/>
        <item x="46"/>
        <item x="96"/>
        <item x="59"/>
        <item x="168"/>
        <item x="137"/>
        <item x="4"/>
        <item x="69"/>
        <item x="135"/>
        <item x="153"/>
        <item x="141"/>
        <item x="156"/>
        <item x="139"/>
        <item x="152"/>
        <item x="126"/>
        <item x="27"/>
        <item x="98"/>
        <item x="155"/>
        <item x="171"/>
        <item x="99"/>
        <item x="24"/>
        <item x="55"/>
        <item x="51"/>
        <item x="123"/>
        <item x="150"/>
        <item x="50"/>
        <item x="14"/>
        <item x="53"/>
        <item x="162"/>
        <item x="158"/>
        <item x="81"/>
        <item x="122"/>
        <item x="116"/>
        <item x="33"/>
        <item x="45"/>
        <item x="8"/>
        <item x="67"/>
        <item x="93"/>
        <item x="23"/>
        <item x="119"/>
        <item x="106"/>
        <item x="72"/>
        <item x="16"/>
        <item x="105"/>
        <item x="170"/>
        <item x="166"/>
        <item x="147"/>
        <item x="22"/>
        <item x="73"/>
        <item x="91"/>
        <item x="130"/>
        <item x="111"/>
        <item x="34"/>
        <item x="19"/>
        <item x="52"/>
        <item x="92"/>
        <item x="165"/>
        <item x="13"/>
        <item x="11"/>
        <item x="104"/>
        <item x="127"/>
        <item x="97"/>
        <item x="133"/>
        <item x="49"/>
        <item x="95"/>
        <item x="134"/>
        <item x="70"/>
        <item x="48"/>
        <item x="157"/>
        <item x="161"/>
        <item x="120"/>
        <item x="101"/>
        <item x="31"/>
        <item x="15"/>
        <item x="109"/>
        <item x="102"/>
        <item x="167"/>
        <item x="140"/>
        <item x="74"/>
        <item x="100"/>
        <item x="10"/>
        <item x="125"/>
        <item x="18"/>
        <item x="36"/>
        <item x="42"/>
        <item x="32"/>
        <item x="160"/>
        <item x="113"/>
        <item x="145"/>
        <item x="12"/>
        <item x="115"/>
        <item x="56"/>
        <item x="7"/>
        <item x="60"/>
        <item x="138"/>
        <item x="146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axis="axisRow" showAll="0" sortType="descending">
      <items count="6">
        <item x="2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7">
        <item x="2"/>
        <item x="4"/>
        <item x="3"/>
        <item x="5"/>
        <item x="0"/>
        <item x="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6">
    <i>
      <x/>
    </i>
    <i>
      <x v="4"/>
    </i>
    <i>
      <x v="1"/>
    </i>
    <i>
      <x v="3"/>
    </i>
    <i>
      <x v="2"/>
    </i>
    <i t="grand">
      <x/>
    </i>
  </rowItems>
  <colItems count="1">
    <i/>
  </colItems>
  <dataFields count="1">
    <dataField name="Count of Rating" fld="8" subtotal="count" showDataAs="percentOfTotal" baseField="0" baseItem="0" numFmtId="10"/>
  </dataFields>
  <formats count="6">
    <format dxfId="13">
      <pivotArea collapsedLevelsAreSubtotals="1" fieldPosition="0">
        <references count="1">
          <reference field="7" count="1">
            <x v="0"/>
          </reference>
        </references>
      </pivotArea>
    </format>
    <format dxfId="12">
      <pivotArea collapsedLevelsAreSubtotals="1" fieldPosition="0">
        <references count="1">
          <reference field="7" count="1">
            <x v="1"/>
          </reference>
        </references>
      </pivotArea>
    </format>
    <format dxfId="11">
      <pivotArea collapsedLevelsAreSubtotals="1" fieldPosition="0">
        <references count="1">
          <reference field="7" count="1">
            <x v="2"/>
          </reference>
        </references>
      </pivotArea>
    </format>
    <format dxfId="10">
      <pivotArea collapsedLevelsAreSubtotals="1" fieldPosition="0">
        <references count="1">
          <reference field="7" count="1">
            <x v="3"/>
          </reference>
        </references>
      </pivotArea>
    </format>
    <format dxfId="9">
      <pivotArea collapsedLevelsAreSubtotals="1" fieldPosition="0">
        <references count="1">
          <reference field="7" count="1">
            <x v="4"/>
          </reference>
        </references>
      </pivotArea>
    </format>
    <format dxfId="8">
      <pivotArea grandRow="1" outline="0" collapsedLevelsAreSubtotals="1" fieldPosition="0"/>
    </format>
  </format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A3D260-318C-4566-8646-A211BC6C1F42}" autoFormatId="16" applyNumberFormats="0" applyBorderFormats="0" applyFontFormats="0" applyPatternFormats="0" applyAlignmentFormats="0" applyWidthHeightFormats="0">
  <queryTableRefresh nextId="10">
    <queryTableFields count="9">
      <queryTableField id="1" name="StudentID" tableColumnId="1"/>
      <queryTableField id="2" name="StudentName" tableColumnId="2"/>
      <queryTableField id="3" name="CourseID" tableColumnId="3"/>
      <queryTableField id="4" name="CourseName" tableColumnId="4"/>
      <queryTableField id="5" name="EnrollmentDate" tableColumnId="5"/>
      <queryTableField id="6" name="CompletionStatus" tableColumnId="6"/>
      <queryTableField id="7" name="CourseFee" tableColumnId="7"/>
      <queryTableField id="8" name="InstructorName" tableColumnId="8"/>
      <queryTableField id="9" name="Rating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3551EF-3A08-4018-8B4C-8DD63BF17176}" name="Online" displayName="Online" ref="A1:I251" tableType="queryTable" totalsRowShown="0">
  <autoFilter ref="A1:I251" xr:uid="{533551EF-3A08-4018-8B4C-8DD63BF17176}"/>
  <tableColumns count="9">
    <tableColumn id="1" xr3:uid="{456B7CFC-D52A-463B-AAC1-F11FF91B150A}" uniqueName="1" name="StudentID" queryTableFieldId="1" dataDxfId="7"/>
    <tableColumn id="2" xr3:uid="{674EFE8B-029B-438C-B0EC-B8A09A5DC34C}" uniqueName="2" name="StudentName" queryTableFieldId="2" dataDxfId="6"/>
    <tableColumn id="3" xr3:uid="{4CA707B5-2D0D-40E5-A3C1-D6BBB63EDC9B}" uniqueName="3" name="CourseID" queryTableFieldId="3" dataDxfId="5"/>
    <tableColumn id="4" xr3:uid="{CFDEC1FE-485D-43CE-A345-B55888C55E1C}" uniqueName="4" name="CourseName" queryTableFieldId="4" dataDxfId="4"/>
    <tableColumn id="5" xr3:uid="{DC0DD30F-9B0A-49B9-8BAD-BFD2E69AF9BC}" uniqueName="5" name="EnrollmentDate" queryTableFieldId="5" dataDxfId="3"/>
    <tableColumn id="6" xr3:uid="{81224E6A-CBF1-4B03-965A-520974C6B1DA}" uniqueName="6" name="CompletionStatus" queryTableFieldId="6" dataDxfId="2"/>
    <tableColumn id="7" xr3:uid="{5F04EF8E-C3FB-4132-BFA9-C35CC7A58797}" uniqueName="7" name="CourseFee" queryTableFieldId="7"/>
    <tableColumn id="8" xr3:uid="{D3576FE0-3717-4804-8EED-521AE4D4EE82}" uniqueName="8" name="InstructorName" queryTableFieldId="8" dataDxfId="1"/>
    <tableColumn id="9" xr3:uid="{0C002FD6-8F07-4A87-80FD-E76F0495AFDF}" uniqueName="9" name="Rating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8389E-826C-4A50-B8FA-528F1B4BFA93}">
  <dimension ref="A3:B12"/>
  <sheetViews>
    <sheetView tabSelected="1" zoomScale="96" workbookViewId="0">
      <selection activeCell="A7" sqref="A7"/>
    </sheetView>
  </sheetViews>
  <sheetFormatPr defaultRowHeight="14.4" x14ac:dyDescent="0.3"/>
  <cols>
    <col min="1" max="1" width="15.6640625" bestFit="1" customWidth="1"/>
    <col min="2" max="2" width="17.44140625" bestFit="1" customWidth="1"/>
  </cols>
  <sheetData>
    <row r="3" spans="1:2" x14ac:dyDescent="0.3">
      <c r="A3" s="4" t="s">
        <v>263</v>
      </c>
      <c r="B3" t="s">
        <v>265</v>
      </c>
    </row>
    <row r="4" spans="1:2" x14ac:dyDescent="0.3">
      <c r="A4" s="5" t="s">
        <v>248</v>
      </c>
      <c r="B4">
        <v>30</v>
      </c>
    </row>
    <row r="5" spans="1:2" x14ac:dyDescent="0.3">
      <c r="A5" s="5" t="s">
        <v>244</v>
      </c>
      <c r="B5">
        <v>39</v>
      </c>
    </row>
    <row r="6" spans="1:2" x14ac:dyDescent="0.3">
      <c r="A6" s="5" t="s">
        <v>245</v>
      </c>
      <c r="B6">
        <v>33</v>
      </c>
    </row>
    <row r="7" spans="1:2" x14ac:dyDescent="0.3">
      <c r="A7" s="5" t="s">
        <v>241</v>
      </c>
      <c r="B7">
        <v>32</v>
      </c>
    </row>
    <row r="8" spans="1:2" x14ac:dyDescent="0.3">
      <c r="A8" s="5" t="s">
        <v>247</v>
      </c>
      <c r="B8">
        <v>39</v>
      </c>
    </row>
    <row r="9" spans="1:2" x14ac:dyDescent="0.3">
      <c r="A9" s="5" t="s">
        <v>242</v>
      </c>
      <c r="B9">
        <v>22</v>
      </c>
    </row>
    <row r="10" spans="1:2" x14ac:dyDescent="0.3">
      <c r="A10" s="5" t="s">
        <v>246</v>
      </c>
      <c r="B10">
        <v>26</v>
      </c>
    </row>
    <row r="11" spans="1:2" x14ac:dyDescent="0.3">
      <c r="A11" s="5" t="s">
        <v>243</v>
      </c>
      <c r="B11">
        <v>29</v>
      </c>
    </row>
    <row r="12" spans="1:2" x14ac:dyDescent="0.3">
      <c r="A12" s="5" t="s">
        <v>264</v>
      </c>
      <c r="B12">
        <v>250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9954D-2739-4AD1-A81C-3675478D4B1F}">
  <dimension ref="D10:E14"/>
  <sheetViews>
    <sheetView workbookViewId="0">
      <selection activeCell="E21" sqref="E21"/>
    </sheetView>
  </sheetViews>
  <sheetFormatPr defaultRowHeight="14.4" x14ac:dyDescent="0.3"/>
  <cols>
    <col min="4" max="4" width="12.5546875" bestFit="1" customWidth="1"/>
    <col min="5" max="5" width="17.44140625" bestFit="1" customWidth="1"/>
  </cols>
  <sheetData>
    <row r="10" spans="4:5" x14ac:dyDescent="0.3">
      <c r="D10" s="4" t="s">
        <v>263</v>
      </c>
      <c r="E10" t="s">
        <v>265</v>
      </c>
    </row>
    <row r="11" spans="4:5" x14ac:dyDescent="0.3">
      <c r="D11" s="5" t="s">
        <v>249</v>
      </c>
      <c r="E11">
        <v>90</v>
      </c>
    </row>
    <row r="12" spans="4:5" x14ac:dyDescent="0.3">
      <c r="D12" s="5" t="s">
        <v>251</v>
      </c>
      <c r="E12">
        <v>86</v>
      </c>
    </row>
    <row r="13" spans="4:5" x14ac:dyDescent="0.3">
      <c r="D13" s="5" t="s">
        <v>250</v>
      </c>
      <c r="E13">
        <v>74</v>
      </c>
    </row>
    <row r="14" spans="4:5" x14ac:dyDescent="0.3">
      <c r="D14" s="5" t="s">
        <v>264</v>
      </c>
      <c r="E14">
        <v>250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C0E87-1848-4B38-90EF-BCD4CE50417D}">
  <dimension ref="D16:H23"/>
  <sheetViews>
    <sheetView workbookViewId="0">
      <selection activeCell="F20" sqref="F20"/>
    </sheetView>
  </sheetViews>
  <sheetFormatPr defaultRowHeight="14.4" x14ac:dyDescent="0.3"/>
  <cols>
    <col min="4" max="4" width="17.44140625" bestFit="1" customWidth="1"/>
    <col min="5" max="5" width="15.5546875" bestFit="1" customWidth="1"/>
    <col min="6" max="6" width="8.33203125" bestFit="1" customWidth="1"/>
    <col min="7" max="7" width="10.21875" bestFit="1" customWidth="1"/>
    <col min="8" max="8" width="10.77734375" bestFit="1" customWidth="1"/>
  </cols>
  <sheetData>
    <row r="16" spans="4:5" x14ac:dyDescent="0.3">
      <c r="D16" s="4" t="s">
        <v>265</v>
      </c>
      <c r="E16" s="4" t="s">
        <v>266</v>
      </c>
    </row>
    <row r="17" spans="4:8" x14ac:dyDescent="0.3">
      <c r="D17" s="4" t="s">
        <v>263</v>
      </c>
      <c r="E17" t="s">
        <v>249</v>
      </c>
      <c r="F17" t="s">
        <v>251</v>
      </c>
      <c r="G17" t="s">
        <v>250</v>
      </c>
      <c r="H17" t="s">
        <v>264</v>
      </c>
    </row>
    <row r="18" spans="4:8" x14ac:dyDescent="0.3">
      <c r="D18" s="5" t="s">
        <v>254</v>
      </c>
      <c r="E18">
        <v>23</v>
      </c>
      <c r="F18">
        <v>20</v>
      </c>
      <c r="G18">
        <v>14</v>
      </c>
      <c r="H18">
        <v>57</v>
      </c>
    </row>
    <row r="19" spans="4:8" x14ac:dyDescent="0.3">
      <c r="D19" s="5" t="s">
        <v>255</v>
      </c>
      <c r="E19">
        <v>20</v>
      </c>
      <c r="F19">
        <v>14</v>
      </c>
      <c r="G19">
        <v>16</v>
      </c>
      <c r="H19">
        <v>50</v>
      </c>
    </row>
    <row r="20" spans="4:8" x14ac:dyDescent="0.3">
      <c r="D20" s="5" t="s">
        <v>252</v>
      </c>
      <c r="E20">
        <v>15</v>
      </c>
      <c r="F20">
        <v>18</v>
      </c>
      <c r="G20">
        <v>11</v>
      </c>
      <c r="H20">
        <v>44</v>
      </c>
    </row>
    <row r="21" spans="4:8" x14ac:dyDescent="0.3">
      <c r="D21" s="5" t="s">
        <v>253</v>
      </c>
      <c r="E21">
        <v>14</v>
      </c>
      <c r="F21">
        <v>19</v>
      </c>
      <c r="G21">
        <v>14</v>
      </c>
      <c r="H21">
        <v>47</v>
      </c>
    </row>
    <row r="22" spans="4:8" x14ac:dyDescent="0.3">
      <c r="D22" s="5" t="s">
        <v>256</v>
      </c>
      <c r="E22">
        <v>18</v>
      </c>
      <c r="F22">
        <v>15</v>
      </c>
      <c r="G22">
        <v>19</v>
      </c>
      <c r="H22">
        <v>52</v>
      </c>
    </row>
    <row r="23" spans="4:8" x14ac:dyDescent="0.3">
      <c r="D23" s="5" t="s">
        <v>264</v>
      </c>
      <c r="E23">
        <v>90</v>
      </c>
      <c r="F23">
        <v>86</v>
      </c>
      <c r="G23">
        <v>74</v>
      </c>
      <c r="H23">
        <v>250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EEF7-7DA2-49C1-8D21-D8B61E9A5CF1}">
  <dimension ref="E5:F18"/>
  <sheetViews>
    <sheetView workbookViewId="0">
      <selection activeCell="L17" sqref="L17"/>
    </sheetView>
  </sheetViews>
  <sheetFormatPr defaultRowHeight="14.4" x14ac:dyDescent="0.3"/>
  <cols>
    <col min="5" max="5" width="12.5546875" bestFit="1" customWidth="1"/>
    <col min="6" max="6" width="17.44140625" bestFit="1" customWidth="1"/>
  </cols>
  <sheetData>
    <row r="5" spans="5:6" x14ac:dyDescent="0.3">
      <c r="E5" s="4" t="s">
        <v>263</v>
      </c>
      <c r="F5" t="s">
        <v>265</v>
      </c>
    </row>
    <row r="6" spans="5:6" x14ac:dyDescent="0.3">
      <c r="E6" s="5" t="s">
        <v>267</v>
      </c>
      <c r="F6">
        <v>16</v>
      </c>
    </row>
    <row r="7" spans="5:6" x14ac:dyDescent="0.3">
      <c r="E7" s="5" t="s">
        <v>268</v>
      </c>
      <c r="F7">
        <v>22</v>
      </c>
    </row>
    <row r="8" spans="5:6" x14ac:dyDescent="0.3">
      <c r="E8" s="5" t="s">
        <v>269</v>
      </c>
      <c r="F8">
        <v>25</v>
      </c>
    </row>
    <row r="9" spans="5:6" x14ac:dyDescent="0.3">
      <c r="E9" s="5" t="s">
        <v>270</v>
      </c>
      <c r="F9">
        <v>13</v>
      </c>
    </row>
    <row r="10" spans="5:6" x14ac:dyDescent="0.3">
      <c r="E10" s="5" t="s">
        <v>271</v>
      </c>
      <c r="F10">
        <v>28</v>
      </c>
    </row>
    <row r="11" spans="5:6" x14ac:dyDescent="0.3">
      <c r="E11" s="5" t="s">
        <v>272</v>
      </c>
      <c r="F11">
        <v>20</v>
      </c>
    </row>
    <row r="12" spans="5:6" x14ac:dyDescent="0.3">
      <c r="E12" s="5" t="s">
        <v>273</v>
      </c>
      <c r="F12">
        <v>12</v>
      </c>
    </row>
    <row r="13" spans="5:6" x14ac:dyDescent="0.3">
      <c r="E13" s="5" t="s">
        <v>274</v>
      </c>
      <c r="F13">
        <v>28</v>
      </c>
    </row>
    <row r="14" spans="5:6" x14ac:dyDescent="0.3">
      <c r="E14" s="5" t="s">
        <v>275</v>
      </c>
      <c r="F14">
        <v>16</v>
      </c>
    </row>
    <row r="15" spans="5:6" x14ac:dyDescent="0.3">
      <c r="E15" s="5" t="s">
        <v>276</v>
      </c>
      <c r="F15">
        <v>24</v>
      </c>
    </row>
    <row r="16" spans="5:6" x14ac:dyDescent="0.3">
      <c r="E16" s="5" t="s">
        <v>277</v>
      </c>
      <c r="F16">
        <v>18</v>
      </c>
    </row>
    <row r="17" spans="5:6" x14ac:dyDescent="0.3">
      <c r="E17" s="5" t="s">
        <v>278</v>
      </c>
      <c r="F17">
        <v>28</v>
      </c>
    </row>
    <row r="18" spans="5:6" x14ac:dyDescent="0.3">
      <c r="E18" s="5" t="s">
        <v>264</v>
      </c>
      <c r="F18">
        <v>250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437AD-3322-40FB-BB3A-78C2A2784E94}">
  <dimension ref="C10:D14"/>
  <sheetViews>
    <sheetView workbookViewId="0">
      <selection activeCell="I26" sqref="I26"/>
    </sheetView>
  </sheetViews>
  <sheetFormatPr defaultRowHeight="14.4" x14ac:dyDescent="0.3"/>
  <cols>
    <col min="3" max="3" width="12.5546875" bestFit="1" customWidth="1"/>
    <col min="4" max="4" width="16.21875" bestFit="1" customWidth="1"/>
  </cols>
  <sheetData>
    <row r="10" spans="3:4" x14ac:dyDescent="0.3">
      <c r="C10" s="4" t="s">
        <v>263</v>
      </c>
      <c r="D10" t="s">
        <v>279</v>
      </c>
    </row>
    <row r="11" spans="3:4" x14ac:dyDescent="0.3">
      <c r="C11" s="5" t="s">
        <v>249</v>
      </c>
      <c r="D11">
        <v>796000</v>
      </c>
    </row>
    <row r="12" spans="3:4" x14ac:dyDescent="0.3">
      <c r="C12" s="5" t="s">
        <v>251</v>
      </c>
      <c r="D12">
        <v>740000</v>
      </c>
    </row>
    <row r="13" spans="3:4" x14ac:dyDescent="0.3">
      <c r="C13" s="5" t="s">
        <v>250</v>
      </c>
      <c r="D13">
        <v>605000</v>
      </c>
    </row>
    <row r="14" spans="3:4" x14ac:dyDescent="0.3">
      <c r="C14" s="5" t="s">
        <v>264</v>
      </c>
      <c r="D14">
        <v>2141000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39BD0-5675-4436-A869-2433C60425B6}">
  <dimension ref="D12:N32"/>
  <sheetViews>
    <sheetView topLeftCell="A21" workbookViewId="0">
      <selection activeCell="D34" sqref="D34"/>
    </sheetView>
  </sheetViews>
  <sheetFormatPr defaultRowHeight="14.4" x14ac:dyDescent="0.3"/>
  <cols>
    <col min="4" max="4" width="14.33203125" bestFit="1" customWidth="1"/>
    <col min="5" max="5" width="12.5546875" bestFit="1" customWidth="1"/>
    <col min="6" max="6" width="14.21875" bestFit="1" customWidth="1"/>
    <col min="12" max="12" width="12.5546875" bestFit="1" customWidth="1"/>
  </cols>
  <sheetData>
    <row r="12" spans="5:6" x14ac:dyDescent="0.3">
      <c r="E12" s="4" t="s">
        <v>263</v>
      </c>
      <c r="F12" t="s">
        <v>280</v>
      </c>
    </row>
    <row r="13" spans="5:6" x14ac:dyDescent="0.3">
      <c r="E13" s="5" t="s">
        <v>254</v>
      </c>
      <c r="F13" s="6">
        <v>0.22800000000000001</v>
      </c>
    </row>
    <row r="14" spans="5:6" x14ac:dyDescent="0.3">
      <c r="E14" s="5" t="s">
        <v>256</v>
      </c>
      <c r="F14" s="6">
        <v>0.20799999999999999</v>
      </c>
    </row>
    <row r="15" spans="5:6" x14ac:dyDescent="0.3">
      <c r="E15" s="5" t="s">
        <v>255</v>
      </c>
      <c r="F15" s="6">
        <v>0.2</v>
      </c>
    </row>
    <row r="16" spans="5:6" x14ac:dyDescent="0.3">
      <c r="E16" s="5" t="s">
        <v>253</v>
      </c>
      <c r="F16" s="6">
        <v>0.188</v>
      </c>
    </row>
    <row r="17" spans="4:14" x14ac:dyDescent="0.3">
      <c r="E17" s="5" t="s">
        <v>252</v>
      </c>
      <c r="F17" s="6">
        <v>0.17599999999999999</v>
      </c>
    </row>
    <row r="18" spans="4:14" x14ac:dyDescent="0.3">
      <c r="E18" s="5" t="s">
        <v>264</v>
      </c>
      <c r="F18" s="6">
        <v>1</v>
      </c>
    </row>
    <row r="25" spans="4:14" ht="21" x14ac:dyDescent="0.4">
      <c r="D25" s="9" t="s">
        <v>289</v>
      </c>
    </row>
    <row r="28" spans="4:14" x14ac:dyDescent="0.3">
      <c r="E28" t="s">
        <v>281</v>
      </c>
      <c r="G28" t="s">
        <v>282</v>
      </c>
      <c r="J28" t="s">
        <v>283</v>
      </c>
      <c r="L28" t="s">
        <v>284</v>
      </c>
      <c r="N28" t="s">
        <v>288</v>
      </c>
    </row>
    <row r="29" spans="4:14" x14ac:dyDescent="0.3">
      <c r="E29">
        <f>COUNTA(Online[StudentID])</f>
        <v>250</v>
      </c>
      <c r="G29" s="6">
        <f>G32/E29</f>
        <v>0.36</v>
      </c>
      <c r="J29" s="7">
        <f>J32/E29</f>
        <v>0.34399999999999997</v>
      </c>
      <c r="L29" s="8">
        <f>SUMIFS(Online[CourseFee],Online[CompletionStatus],"Completed")</f>
        <v>796000</v>
      </c>
      <c r="N29" s="7">
        <f>M32/E29</f>
        <v>0.29599999999999999</v>
      </c>
    </row>
    <row r="31" spans="4:14" x14ac:dyDescent="0.3">
      <c r="G31" t="s">
        <v>285</v>
      </c>
      <c r="J31" t="s">
        <v>286</v>
      </c>
      <c r="M31" t="s">
        <v>287</v>
      </c>
    </row>
    <row r="32" spans="4:14" x14ac:dyDescent="0.3">
      <c r="G32">
        <f>COUNTIF(Online[CompletionStatus],"Completed")</f>
        <v>90</v>
      </c>
      <c r="J32">
        <f>COUNTIF(Online[CompletionStatus],"Dropped")</f>
        <v>86</v>
      </c>
      <c r="M32">
        <f>COUNTIF(Online[CompletionStatus],"In Progress")</f>
        <v>74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D1FC7-A5C4-4361-BC14-B17BE495D98A}">
  <dimension ref="A1"/>
  <sheetViews>
    <sheetView showGridLines="0" showRowColHeaders="0" zoomScale="74" workbookViewId="0">
      <selection activeCell="Z27" sqref="Z2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688A-54AF-4DC2-8477-938C5E012FD4}">
  <dimension ref="A1:I251"/>
  <sheetViews>
    <sheetView zoomScale="96" workbookViewId="0">
      <selection activeCell="D19" sqref="D19"/>
    </sheetView>
  </sheetViews>
  <sheetFormatPr defaultRowHeight="14.4" x14ac:dyDescent="0.3"/>
  <cols>
    <col min="1" max="1" width="11.6640625" bestFit="1" customWidth="1"/>
    <col min="2" max="2" width="14.88671875" bestFit="1" customWidth="1"/>
    <col min="3" max="3" width="10.77734375" bestFit="1" customWidth="1"/>
    <col min="4" max="4" width="15.6640625" bestFit="1" customWidth="1"/>
    <col min="5" max="5" width="16.44140625" bestFit="1" customWidth="1"/>
    <col min="6" max="6" width="18.33203125" bestFit="1" customWidth="1"/>
    <col min="7" max="7" width="11.88671875" bestFit="1" customWidth="1"/>
    <col min="8" max="8" width="16.5546875" bestFit="1" customWidth="1"/>
    <col min="9" max="9" width="9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223</v>
      </c>
      <c r="C2" t="s">
        <v>233</v>
      </c>
      <c r="D2" t="s">
        <v>241</v>
      </c>
      <c r="E2" s="3">
        <v>45052</v>
      </c>
      <c r="F2" t="s">
        <v>249</v>
      </c>
      <c r="G2">
        <v>7000</v>
      </c>
      <c r="H2" t="s">
        <v>252</v>
      </c>
      <c r="I2" t="s">
        <v>257</v>
      </c>
    </row>
    <row r="3" spans="1:9" x14ac:dyDescent="0.3">
      <c r="A3" t="s">
        <v>10</v>
      </c>
      <c r="B3" t="s">
        <v>224</v>
      </c>
      <c r="C3" t="s">
        <v>234</v>
      </c>
      <c r="D3" t="s">
        <v>242</v>
      </c>
      <c r="E3" s="3">
        <v>44942</v>
      </c>
      <c r="F3" t="s">
        <v>249</v>
      </c>
      <c r="G3">
        <v>7000</v>
      </c>
      <c r="H3" t="s">
        <v>253</v>
      </c>
      <c r="I3" t="s">
        <v>257</v>
      </c>
    </row>
    <row r="4" spans="1:9" x14ac:dyDescent="0.3">
      <c r="A4" t="s">
        <v>11</v>
      </c>
      <c r="B4" t="s">
        <v>225</v>
      </c>
      <c r="C4" t="s">
        <v>235</v>
      </c>
      <c r="D4" t="s">
        <v>243</v>
      </c>
      <c r="E4" s="3">
        <v>45039</v>
      </c>
      <c r="F4" t="s">
        <v>250</v>
      </c>
      <c r="G4">
        <v>10000</v>
      </c>
      <c r="H4" t="s">
        <v>252</v>
      </c>
      <c r="I4" t="s">
        <v>258</v>
      </c>
    </row>
    <row r="5" spans="1:9" x14ac:dyDescent="0.3">
      <c r="A5" t="s">
        <v>12</v>
      </c>
      <c r="B5" t="s">
        <v>226</v>
      </c>
      <c r="C5" t="s">
        <v>234</v>
      </c>
      <c r="D5" t="s">
        <v>244</v>
      </c>
      <c r="E5" s="3">
        <v>45069</v>
      </c>
      <c r="F5" t="s">
        <v>249</v>
      </c>
      <c r="G5">
        <v>7000</v>
      </c>
      <c r="H5" t="s">
        <v>254</v>
      </c>
      <c r="I5" t="s">
        <v>259</v>
      </c>
    </row>
    <row r="6" spans="1:9" x14ac:dyDescent="0.3">
      <c r="A6" t="s">
        <v>13</v>
      </c>
      <c r="B6" t="s">
        <v>227</v>
      </c>
      <c r="C6" t="s">
        <v>236</v>
      </c>
      <c r="D6" t="s">
        <v>244</v>
      </c>
      <c r="E6" s="3">
        <v>45103</v>
      </c>
      <c r="F6" t="s">
        <v>251</v>
      </c>
      <c r="G6">
        <v>10000</v>
      </c>
      <c r="H6" t="s">
        <v>252</v>
      </c>
      <c r="I6" t="s">
        <v>258</v>
      </c>
    </row>
    <row r="7" spans="1:9" x14ac:dyDescent="0.3">
      <c r="A7" t="s">
        <v>14</v>
      </c>
      <c r="B7" t="s">
        <v>228</v>
      </c>
      <c r="C7" t="s">
        <v>236</v>
      </c>
      <c r="D7" t="s">
        <v>243</v>
      </c>
      <c r="E7" s="3">
        <v>44967</v>
      </c>
      <c r="F7" t="s">
        <v>251</v>
      </c>
      <c r="G7">
        <v>10000</v>
      </c>
      <c r="H7" t="s">
        <v>255</v>
      </c>
      <c r="I7" t="s">
        <v>258</v>
      </c>
    </row>
    <row r="8" spans="1:9" x14ac:dyDescent="0.3">
      <c r="A8" t="s">
        <v>15</v>
      </c>
      <c r="B8" t="s">
        <v>229</v>
      </c>
      <c r="C8" t="s">
        <v>235</v>
      </c>
      <c r="D8" t="s">
        <v>245</v>
      </c>
      <c r="E8" s="3">
        <v>44950</v>
      </c>
      <c r="F8" t="s">
        <v>251</v>
      </c>
      <c r="G8">
        <v>7000</v>
      </c>
      <c r="H8" t="s">
        <v>254</v>
      </c>
      <c r="I8" t="s">
        <v>258</v>
      </c>
    </row>
    <row r="9" spans="1:9" x14ac:dyDescent="0.3">
      <c r="A9" t="s">
        <v>16</v>
      </c>
      <c r="B9" t="s">
        <v>230</v>
      </c>
      <c r="C9" t="s">
        <v>236</v>
      </c>
      <c r="D9" t="s">
        <v>243</v>
      </c>
      <c r="E9" s="3">
        <v>45069</v>
      </c>
      <c r="F9" t="s">
        <v>250</v>
      </c>
      <c r="G9">
        <v>10000</v>
      </c>
      <c r="H9" t="s">
        <v>253</v>
      </c>
      <c r="I9" t="s">
        <v>258</v>
      </c>
    </row>
    <row r="10" spans="1:9" x14ac:dyDescent="0.3">
      <c r="A10" t="s">
        <v>17</v>
      </c>
      <c r="B10" t="s">
        <v>229</v>
      </c>
      <c r="C10" t="s">
        <v>235</v>
      </c>
      <c r="D10" t="s">
        <v>241</v>
      </c>
      <c r="E10" s="3">
        <v>45286</v>
      </c>
      <c r="F10" t="s">
        <v>251</v>
      </c>
      <c r="G10">
        <v>5000</v>
      </c>
      <c r="H10" t="s">
        <v>255</v>
      </c>
      <c r="I10" t="s">
        <v>258</v>
      </c>
    </row>
    <row r="11" spans="1:9" x14ac:dyDescent="0.3">
      <c r="A11" t="s">
        <v>18</v>
      </c>
      <c r="B11" t="s">
        <v>226</v>
      </c>
      <c r="C11" t="s">
        <v>235</v>
      </c>
      <c r="D11" t="s">
        <v>246</v>
      </c>
      <c r="E11" s="3">
        <v>45163</v>
      </c>
      <c r="F11" t="s">
        <v>250</v>
      </c>
      <c r="G11">
        <v>10000</v>
      </c>
      <c r="H11" t="s">
        <v>255</v>
      </c>
      <c r="I11" t="s">
        <v>258</v>
      </c>
    </row>
    <row r="12" spans="1:9" x14ac:dyDescent="0.3">
      <c r="A12" t="s">
        <v>19</v>
      </c>
      <c r="B12" t="s">
        <v>229</v>
      </c>
      <c r="C12" t="s">
        <v>233</v>
      </c>
      <c r="D12" t="s">
        <v>247</v>
      </c>
      <c r="E12" s="3">
        <v>44943</v>
      </c>
      <c r="F12" t="s">
        <v>250</v>
      </c>
      <c r="G12">
        <v>12000</v>
      </c>
      <c r="H12" t="s">
        <v>254</v>
      </c>
      <c r="I12" t="s">
        <v>258</v>
      </c>
    </row>
    <row r="13" spans="1:9" x14ac:dyDescent="0.3">
      <c r="A13" t="s">
        <v>20</v>
      </c>
      <c r="B13" t="s">
        <v>230</v>
      </c>
      <c r="C13" t="s">
        <v>237</v>
      </c>
      <c r="D13" t="s">
        <v>247</v>
      </c>
      <c r="E13" s="3">
        <v>45262</v>
      </c>
      <c r="F13" t="s">
        <v>250</v>
      </c>
      <c r="G13">
        <v>12000</v>
      </c>
      <c r="H13" t="s">
        <v>256</v>
      </c>
      <c r="I13" t="s">
        <v>258</v>
      </c>
    </row>
    <row r="14" spans="1:9" x14ac:dyDescent="0.3">
      <c r="A14" t="s">
        <v>21</v>
      </c>
      <c r="B14" t="s">
        <v>231</v>
      </c>
      <c r="C14" t="s">
        <v>238</v>
      </c>
      <c r="D14" t="s">
        <v>247</v>
      </c>
      <c r="E14" s="3">
        <v>45214</v>
      </c>
      <c r="F14" t="s">
        <v>251</v>
      </c>
      <c r="G14">
        <v>10000</v>
      </c>
      <c r="H14" t="s">
        <v>255</v>
      </c>
      <c r="I14" t="s">
        <v>258</v>
      </c>
    </row>
    <row r="15" spans="1:9" x14ac:dyDescent="0.3">
      <c r="A15" t="s">
        <v>22</v>
      </c>
      <c r="B15" t="s">
        <v>224</v>
      </c>
      <c r="C15" t="s">
        <v>234</v>
      </c>
      <c r="D15" t="s">
        <v>244</v>
      </c>
      <c r="E15" s="3">
        <v>45039</v>
      </c>
      <c r="F15" t="s">
        <v>249</v>
      </c>
      <c r="G15">
        <v>12000</v>
      </c>
      <c r="H15" t="s">
        <v>252</v>
      </c>
      <c r="I15" t="s">
        <v>259</v>
      </c>
    </row>
    <row r="16" spans="1:9" x14ac:dyDescent="0.3">
      <c r="A16" t="s">
        <v>23</v>
      </c>
      <c r="B16" t="s">
        <v>223</v>
      </c>
      <c r="C16" t="s">
        <v>238</v>
      </c>
      <c r="D16" t="s">
        <v>246</v>
      </c>
      <c r="E16" s="3">
        <v>45275</v>
      </c>
      <c r="F16" t="s">
        <v>250</v>
      </c>
      <c r="G16">
        <v>5000</v>
      </c>
      <c r="H16" t="s">
        <v>256</v>
      </c>
      <c r="I16" t="s">
        <v>258</v>
      </c>
    </row>
    <row r="17" spans="1:9" x14ac:dyDescent="0.3">
      <c r="A17" t="s">
        <v>24</v>
      </c>
      <c r="B17" t="s">
        <v>224</v>
      </c>
      <c r="C17" t="s">
        <v>239</v>
      </c>
      <c r="D17" t="s">
        <v>241</v>
      </c>
      <c r="E17" s="3">
        <v>45210</v>
      </c>
      <c r="F17" t="s">
        <v>249</v>
      </c>
      <c r="G17">
        <v>5000</v>
      </c>
      <c r="H17" t="s">
        <v>255</v>
      </c>
      <c r="I17" t="s">
        <v>260</v>
      </c>
    </row>
    <row r="18" spans="1:9" x14ac:dyDescent="0.3">
      <c r="A18" t="s">
        <v>25</v>
      </c>
      <c r="B18" t="s">
        <v>229</v>
      </c>
      <c r="C18" t="s">
        <v>236</v>
      </c>
      <c r="D18" t="s">
        <v>241</v>
      </c>
      <c r="E18" s="3">
        <v>45149</v>
      </c>
      <c r="F18" t="s">
        <v>249</v>
      </c>
      <c r="G18">
        <v>12000</v>
      </c>
      <c r="H18" t="s">
        <v>252</v>
      </c>
      <c r="I18" t="s">
        <v>260</v>
      </c>
    </row>
    <row r="19" spans="1:9" x14ac:dyDescent="0.3">
      <c r="A19" t="s">
        <v>26</v>
      </c>
      <c r="B19" t="s">
        <v>232</v>
      </c>
      <c r="C19" t="s">
        <v>238</v>
      </c>
      <c r="D19" t="s">
        <v>245</v>
      </c>
      <c r="E19" s="3">
        <v>45247</v>
      </c>
      <c r="F19" t="s">
        <v>250</v>
      </c>
      <c r="G19">
        <v>7000</v>
      </c>
      <c r="H19" t="s">
        <v>253</v>
      </c>
      <c r="I19" t="s">
        <v>258</v>
      </c>
    </row>
    <row r="20" spans="1:9" x14ac:dyDescent="0.3">
      <c r="A20" t="s">
        <v>27</v>
      </c>
      <c r="B20" t="s">
        <v>226</v>
      </c>
      <c r="C20" t="s">
        <v>233</v>
      </c>
      <c r="D20" t="s">
        <v>244</v>
      </c>
      <c r="E20" s="3">
        <v>45177</v>
      </c>
      <c r="F20" t="s">
        <v>249</v>
      </c>
      <c r="G20">
        <v>5000</v>
      </c>
      <c r="H20" t="s">
        <v>254</v>
      </c>
      <c r="I20" t="s">
        <v>260</v>
      </c>
    </row>
    <row r="21" spans="1:9" x14ac:dyDescent="0.3">
      <c r="A21" t="s">
        <v>28</v>
      </c>
      <c r="B21" t="s">
        <v>225</v>
      </c>
      <c r="C21" t="s">
        <v>235</v>
      </c>
      <c r="D21" t="s">
        <v>245</v>
      </c>
      <c r="E21" s="3">
        <v>44970</v>
      </c>
      <c r="F21" t="s">
        <v>251</v>
      </c>
      <c r="G21">
        <v>12000</v>
      </c>
      <c r="H21" t="s">
        <v>252</v>
      </c>
      <c r="I21" t="s">
        <v>258</v>
      </c>
    </row>
    <row r="22" spans="1:9" x14ac:dyDescent="0.3">
      <c r="A22" t="s">
        <v>29</v>
      </c>
      <c r="B22" t="s">
        <v>232</v>
      </c>
      <c r="C22" t="s">
        <v>238</v>
      </c>
      <c r="D22" t="s">
        <v>246</v>
      </c>
      <c r="E22" s="3">
        <v>45264</v>
      </c>
      <c r="F22" t="s">
        <v>250</v>
      </c>
      <c r="G22">
        <v>7000</v>
      </c>
      <c r="H22" t="s">
        <v>254</v>
      </c>
      <c r="I22" t="s">
        <v>258</v>
      </c>
    </row>
    <row r="23" spans="1:9" x14ac:dyDescent="0.3">
      <c r="A23" t="s">
        <v>30</v>
      </c>
      <c r="B23" t="s">
        <v>224</v>
      </c>
      <c r="C23" t="s">
        <v>234</v>
      </c>
      <c r="D23" t="s">
        <v>247</v>
      </c>
      <c r="E23" s="3">
        <v>45203</v>
      </c>
      <c r="F23" t="s">
        <v>251</v>
      </c>
      <c r="G23">
        <v>7000</v>
      </c>
      <c r="H23" t="s">
        <v>254</v>
      </c>
      <c r="I23" t="s">
        <v>258</v>
      </c>
    </row>
    <row r="24" spans="1:9" x14ac:dyDescent="0.3">
      <c r="A24" t="s">
        <v>31</v>
      </c>
      <c r="B24" t="s">
        <v>229</v>
      </c>
      <c r="C24" t="s">
        <v>239</v>
      </c>
      <c r="D24" t="s">
        <v>248</v>
      </c>
      <c r="E24" s="3">
        <v>44988</v>
      </c>
      <c r="F24" t="s">
        <v>249</v>
      </c>
      <c r="G24">
        <v>7000</v>
      </c>
      <c r="H24" t="s">
        <v>252</v>
      </c>
      <c r="I24" t="s">
        <v>260</v>
      </c>
    </row>
    <row r="25" spans="1:9" x14ac:dyDescent="0.3">
      <c r="A25" t="s">
        <v>32</v>
      </c>
      <c r="B25" t="s">
        <v>224</v>
      </c>
      <c r="C25" t="s">
        <v>235</v>
      </c>
      <c r="D25" t="s">
        <v>247</v>
      </c>
      <c r="E25" s="3">
        <v>44930</v>
      </c>
      <c r="F25" t="s">
        <v>249</v>
      </c>
      <c r="G25">
        <v>5000</v>
      </c>
      <c r="H25" t="s">
        <v>253</v>
      </c>
      <c r="I25" t="s">
        <v>259</v>
      </c>
    </row>
    <row r="26" spans="1:9" x14ac:dyDescent="0.3">
      <c r="A26" t="s">
        <v>33</v>
      </c>
      <c r="B26" t="s">
        <v>225</v>
      </c>
      <c r="C26" t="s">
        <v>237</v>
      </c>
      <c r="D26" t="s">
        <v>245</v>
      </c>
      <c r="E26" s="3">
        <v>45190</v>
      </c>
      <c r="F26" t="s">
        <v>249</v>
      </c>
      <c r="G26">
        <v>10000</v>
      </c>
      <c r="H26" t="s">
        <v>256</v>
      </c>
      <c r="I26" t="s">
        <v>261</v>
      </c>
    </row>
    <row r="27" spans="1:9" x14ac:dyDescent="0.3">
      <c r="A27" t="s">
        <v>34</v>
      </c>
      <c r="B27" t="s">
        <v>226</v>
      </c>
      <c r="C27" t="s">
        <v>239</v>
      </c>
      <c r="D27" t="s">
        <v>247</v>
      </c>
      <c r="E27" s="3">
        <v>45169</v>
      </c>
      <c r="F27" t="s">
        <v>250</v>
      </c>
      <c r="G27">
        <v>7000</v>
      </c>
      <c r="H27" t="s">
        <v>252</v>
      </c>
      <c r="I27" t="s">
        <v>258</v>
      </c>
    </row>
    <row r="28" spans="1:9" x14ac:dyDescent="0.3">
      <c r="A28" t="s">
        <v>35</v>
      </c>
      <c r="B28" t="s">
        <v>227</v>
      </c>
      <c r="C28" t="s">
        <v>237</v>
      </c>
      <c r="D28" t="s">
        <v>243</v>
      </c>
      <c r="E28" s="3">
        <v>45137</v>
      </c>
      <c r="F28" t="s">
        <v>250</v>
      </c>
      <c r="G28">
        <v>5000</v>
      </c>
      <c r="H28" t="s">
        <v>252</v>
      </c>
      <c r="I28" t="s">
        <v>258</v>
      </c>
    </row>
    <row r="29" spans="1:9" x14ac:dyDescent="0.3">
      <c r="A29" t="s">
        <v>36</v>
      </c>
      <c r="B29" t="s">
        <v>227</v>
      </c>
      <c r="C29" t="s">
        <v>237</v>
      </c>
      <c r="D29" t="s">
        <v>245</v>
      </c>
      <c r="E29" s="3">
        <v>45054</v>
      </c>
      <c r="F29" t="s">
        <v>249</v>
      </c>
      <c r="G29">
        <v>7000</v>
      </c>
      <c r="H29" t="s">
        <v>255</v>
      </c>
      <c r="I29" t="s">
        <v>262</v>
      </c>
    </row>
    <row r="30" spans="1:9" x14ac:dyDescent="0.3">
      <c r="A30" t="s">
        <v>37</v>
      </c>
      <c r="B30" t="s">
        <v>227</v>
      </c>
      <c r="C30" t="s">
        <v>238</v>
      </c>
      <c r="D30" t="s">
        <v>241</v>
      </c>
      <c r="E30" s="3">
        <v>45163</v>
      </c>
      <c r="F30" t="s">
        <v>249</v>
      </c>
      <c r="G30">
        <v>5000</v>
      </c>
      <c r="H30" t="s">
        <v>256</v>
      </c>
      <c r="I30" t="s">
        <v>257</v>
      </c>
    </row>
    <row r="31" spans="1:9" x14ac:dyDescent="0.3">
      <c r="A31" t="s">
        <v>38</v>
      </c>
      <c r="B31" t="s">
        <v>225</v>
      </c>
      <c r="C31" t="s">
        <v>233</v>
      </c>
      <c r="D31" t="s">
        <v>245</v>
      </c>
      <c r="E31" s="3">
        <v>45048</v>
      </c>
      <c r="F31" t="s">
        <v>249</v>
      </c>
      <c r="G31">
        <v>12000</v>
      </c>
      <c r="H31" t="s">
        <v>256</v>
      </c>
      <c r="I31" t="s">
        <v>262</v>
      </c>
    </row>
    <row r="32" spans="1:9" x14ac:dyDescent="0.3">
      <c r="A32" t="s">
        <v>39</v>
      </c>
      <c r="B32" t="s">
        <v>227</v>
      </c>
      <c r="C32" t="s">
        <v>233</v>
      </c>
      <c r="D32" t="s">
        <v>246</v>
      </c>
      <c r="E32" s="3">
        <v>45121</v>
      </c>
      <c r="F32" t="s">
        <v>249</v>
      </c>
      <c r="G32">
        <v>12000</v>
      </c>
      <c r="H32" t="s">
        <v>254</v>
      </c>
      <c r="I32" t="s">
        <v>262</v>
      </c>
    </row>
    <row r="33" spans="1:9" x14ac:dyDescent="0.3">
      <c r="A33" t="s">
        <v>40</v>
      </c>
      <c r="B33" t="s">
        <v>227</v>
      </c>
      <c r="C33" t="s">
        <v>239</v>
      </c>
      <c r="D33" t="s">
        <v>246</v>
      </c>
      <c r="E33" s="3">
        <v>45024</v>
      </c>
      <c r="F33" t="s">
        <v>250</v>
      </c>
      <c r="G33">
        <v>7000</v>
      </c>
      <c r="H33" t="s">
        <v>252</v>
      </c>
      <c r="I33" t="s">
        <v>258</v>
      </c>
    </row>
    <row r="34" spans="1:9" x14ac:dyDescent="0.3">
      <c r="A34" t="s">
        <v>41</v>
      </c>
      <c r="B34" t="s">
        <v>232</v>
      </c>
      <c r="C34" t="s">
        <v>233</v>
      </c>
      <c r="D34" t="s">
        <v>244</v>
      </c>
      <c r="E34" s="3">
        <v>44956</v>
      </c>
      <c r="F34" t="s">
        <v>249</v>
      </c>
      <c r="G34">
        <v>12000</v>
      </c>
      <c r="H34" t="s">
        <v>255</v>
      </c>
      <c r="I34" t="s">
        <v>257</v>
      </c>
    </row>
    <row r="35" spans="1:9" x14ac:dyDescent="0.3">
      <c r="A35" t="s">
        <v>42</v>
      </c>
      <c r="B35" t="s">
        <v>225</v>
      </c>
      <c r="C35" t="s">
        <v>236</v>
      </c>
      <c r="D35" t="s">
        <v>246</v>
      </c>
      <c r="E35" s="3">
        <v>44962</v>
      </c>
      <c r="F35" t="s">
        <v>251</v>
      </c>
      <c r="G35">
        <v>5000</v>
      </c>
      <c r="H35" t="s">
        <v>253</v>
      </c>
      <c r="I35" t="s">
        <v>258</v>
      </c>
    </row>
    <row r="36" spans="1:9" x14ac:dyDescent="0.3">
      <c r="A36" t="s">
        <v>43</v>
      </c>
      <c r="B36" t="s">
        <v>223</v>
      </c>
      <c r="C36" t="s">
        <v>235</v>
      </c>
      <c r="D36" t="s">
        <v>242</v>
      </c>
      <c r="E36" s="3">
        <v>45244</v>
      </c>
      <c r="F36" t="s">
        <v>249</v>
      </c>
      <c r="G36">
        <v>12000</v>
      </c>
      <c r="H36" t="s">
        <v>255</v>
      </c>
      <c r="I36" t="s">
        <v>257</v>
      </c>
    </row>
    <row r="37" spans="1:9" x14ac:dyDescent="0.3">
      <c r="A37" t="s">
        <v>44</v>
      </c>
      <c r="B37" t="s">
        <v>229</v>
      </c>
      <c r="C37" t="s">
        <v>240</v>
      </c>
      <c r="D37" t="s">
        <v>247</v>
      </c>
      <c r="E37" s="3">
        <v>45269</v>
      </c>
      <c r="F37" t="s">
        <v>251</v>
      </c>
      <c r="G37">
        <v>10000</v>
      </c>
      <c r="H37" t="s">
        <v>253</v>
      </c>
      <c r="I37" t="s">
        <v>258</v>
      </c>
    </row>
    <row r="38" spans="1:9" x14ac:dyDescent="0.3">
      <c r="A38" t="s">
        <v>45</v>
      </c>
      <c r="B38" t="s">
        <v>227</v>
      </c>
      <c r="C38" t="s">
        <v>238</v>
      </c>
      <c r="D38" t="s">
        <v>241</v>
      </c>
      <c r="E38" s="3">
        <v>45161</v>
      </c>
      <c r="F38" t="s">
        <v>250</v>
      </c>
      <c r="G38">
        <v>5000</v>
      </c>
      <c r="H38" t="s">
        <v>252</v>
      </c>
      <c r="I38" t="s">
        <v>258</v>
      </c>
    </row>
    <row r="39" spans="1:9" x14ac:dyDescent="0.3">
      <c r="A39" t="s">
        <v>46</v>
      </c>
      <c r="B39" t="s">
        <v>224</v>
      </c>
      <c r="C39" t="s">
        <v>236</v>
      </c>
      <c r="D39" t="s">
        <v>245</v>
      </c>
      <c r="E39" s="3">
        <v>45202</v>
      </c>
      <c r="F39" t="s">
        <v>249</v>
      </c>
      <c r="G39">
        <v>10000</v>
      </c>
      <c r="H39" t="s">
        <v>253</v>
      </c>
      <c r="I39" t="s">
        <v>260</v>
      </c>
    </row>
    <row r="40" spans="1:9" x14ac:dyDescent="0.3">
      <c r="A40" t="s">
        <v>47</v>
      </c>
      <c r="B40" t="s">
        <v>223</v>
      </c>
      <c r="C40" t="s">
        <v>235</v>
      </c>
      <c r="D40" t="s">
        <v>244</v>
      </c>
      <c r="E40" s="3">
        <v>45072</v>
      </c>
      <c r="F40" t="s">
        <v>249</v>
      </c>
      <c r="G40">
        <v>12000</v>
      </c>
      <c r="H40" t="s">
        <v>255</v>
      </c>
      <c r="I40" t="s">
        <v>260</v>
      </c>
    </row>
    <row r="41" spans="1:9" x14ac:dyDescent="0.3">
      <c r="A41" t="s">
        <v>48</v>
      </c>
      <c r="B41" t="s">
        <v>232</v>
      </c>
      <c r="C41" t="s">
        <v>233</v>
      </c>
      <c r="D41" t="s">
        <v>241</v>
      </c>
      <c r="E41" s="3">
        <v>45266</v>
      </c>
      <c r="F41" t="s">
        <v>249</v>
      </c>
      <c r="G41">
        <v>7000</v>
      </c>
      <c r="H41" t="s">
        <v>254</v>
      </c>
      <c r="I41" t="s">
        <v>259</v>
      </c>
    </row>
    <row r="42" spans="1:9" x14ac:dyDescent="0.3">
      <c r="A42" t="s">
        <v>49</v>
      </c>
      <c r="B42" t="s">
        <v>223</v>
      </c>
      <c r="C42" t="s">
        <v>238</v>
      </c>
      <c r="D42" t="s">
        <v>241</v>
      </c>
      <c r="E42" s="3">
        <v>45071</v>
      </c>
      <c r="F42" t="s">
        <v>251</v>
      </c>
      <c r="G42">
        <v>7000</v>
      </c>
      <c r="H42" t="s">
        <v>254</v>
      </c>
      <c r="I42" t="s">
        <v>258</v>
      </c>
    </row>
    <row r="43" spans="1:9" x14ac:dyDescent="0.3">
      <c r="A43" t="s">
        <v>50</v>
      </c>
      <c r="B43" t="s">
        <v>231</v>
      </c>
      <c r="C43" t="s">
        <v>239</v>
      </c>
      <c r="D43" t="s">
        <v>241</v>
      </c>
      <c r="E43" s="3">
        <v>44953</v>
      </c>
      <c r="F43" t="s">
        <v>249</v>
      </c>
      <c r="G43">
        <v>12000</v>
      </c>
      <c r="H43" t="s">
        <v>254</v>
      </c>
      <c r="I43" t="s">
        <v>259</v>
      </c>
    </row>
    <row r="44" spans="1:9" x14ac:dyDescent="0.3">
      <c r="A44" t="s">
        <v>51</v>
      </c>
      <c r="B44" t="s">
        <v>229</v>
      </c>
      <c r="C44" t="s">
        <v>238</v>
      </c>
      <c r="D44" t="s">
        <v>241</v>
      </c>
      <c r="E44" s="3">
        <v>45009</v>
      </c>
      <c r="F44" t="s">
        <v>251</v>
      </c>
      <c r="G44">
        <v>12000</v>
      </c>
      <c r="H44" t="s">
        <v>255</v>
      </c>
      <c r="I44" t="s">
        <v>258</v>
      </c>
    </row>
    <row r="45" spans="1:9" x14ac:dyDescent="0.3">
      <c r="A45" t="s">
        <v>52</v>
      </c>
      <c r="B45" t="s">
        <v>227</v>
      </c>
      <c r="C45" t="s">
        <v>233</v>
      </c>
      <c r="D45" t="s">
        <v>245</v>
      </c>
      <c r="E45" s="3">
        <v>44965</v>
      </c>
      <c r="F45" t="s">
        <v>251</v>
      </c>
      <c r="G45">
        <v>7000</v>
      </c>
      <c r="H45" t="s">
        <v>255</v>
      </c>
      <c r="I45" t="s">
        <v>258</v>
      </c>
    </row>
    <row r="46" spans="1:9" x14ac:dyDescent="0.3">
      <c r="A46" t="s">
        <v>53</v>
      </c>
      <c r="B46" t="s">
        <v>229</v>
      </c>
      <c r="C46" t="s">
        <v>238</v>
      </c>
      <c r="D46" t="s">
        <v>243</v>
      </c>
      <c r="E46" s="3">
        <v>44992</v>
      </c>
      <c r="F46" t="s">
        <v>249</v>
      </c>
      <c r="G46">
        <v>10000</v>
      </c>
      <c r="H46" t="s">
        <v>254</v>
      </c>
      <c r="I46" t="s">
        <v>259</v>
      </c>
    </row>
    <row r="47" spans="1:9" x14ac:dyDescent="0.3">
      <c r="A47" t="s">
        <v>54</v>
      </c>
      <c r="B47" t="s">
        <v>229</v>
      </c>
      <c r="C47" t="s">
        <v>235</v>
      </c>
      <c r="D47" t="s">
        <v>247</v>
      </c>
      <c r="E47" s="3">
        <v>45268</v>
      </c>
      <c r="F47" t="s">
        <v>249</v>
      </c>
      <c r="G47">
        <v>10000</v>
      </c>
      <c r="H47" t="s">
        <v>255</v>
      </c>
      <c r="I47" t="s">
        <v>262</v>
      </c>
    </row>
    <row r="48" spans="1:9" x14ac:dyDescent="0.3">
      <c r="A48" t="s">
        <v>55</v>
      </c>
      <c r="B48" t="s">
        <v>224</v>
      </c>
      <c r="C48" t="s">
        <v>238</v>
      </c>
      <c r="D48" t="s">
        <v>247</v>
      </c>
      <c r="E48" s="3">
        <v>45010</v>
      </c>
      <c r="F48" t="s">
        <v>249</v>
      </c>
      <c r="G48">
        <v>12000</v>
      </c>
      <c r="H48" t="s">
        <v>252</v>
      </c>
      <c r="I48" t="s">
        <v>261</v>
      </c>
    </row>
    <row r="49" spans="1:9" x14ac:dyDescent="0.3">
      <c r="A49" t="s">
        <v>56</v>
      </c>
      <c r="B49" t="s">
        <v>229</v>
      </c>
      <c r="C49" t="s">
        <v>234</v>
      </c>
      <c r="D49" t="s">
        <v>247</v>
      </c>
      <c r="E49" s="3">
        <v>45063</v>
      </c>
      <c r="F49" t="s">
        <v>249</v>
      </c>
      <c r="G49">
        <v>5000</v>
      </c>
      <c r="H49" t="s">
        <v>256</v>
      </c>
      <c r="I49" t="s">
        <v>259</v>
      </c>
    </row>
    <row r="50" spans="1:9" x14ac:dyDescent="0.3">
      <c r="A50" t="s">
        <v>57</v>
      </c>
      <c r="B50" t="s">
        <v>228</v>
      </c>
      <c r="C50" t="s">
        <v>235</v>
      </c>
      <c r="D50" t="s">
        <v>247</v>
      </c>
      <c r="E50" s="3">
        <v>45162</v>
      </c>
      <c r="F50" t="s">
        <v>250</v>
      </c>
      <c r="G50">
        <v>10000</v>
      </c>
      <c r="H50" t="s">
        <v>253</v>
      </c>
      <c r="I50" t="s">
        <v>258</v>
      </c>
    </row>
    <row r="51" spans="1:9" x14ac:dyDescent="0.3">
      <c r="A51" t="s">
        <v>58</v>
      </c>
      <c r="B51" t="s">
        <v>225</v>
      </c>
      <c r="C51" t="s">
        <v>235</v>
      </c>
      <c r="D51" t="s">
        <v>243</v>
      </c>
      <c r="E51" s="3">
        <v>45095</v>
      </c>
      <c r="F51" t="s">
        <v>250</v>
      </c>
      <c r="G51">
        <v>5000</v>
      </c>
      <c r="H51" t="s">
        <v>254</v>
      </c>
      <c r="I51" t="s">
        <v>258</v>
      </c>
    </row>
    <row r="52" spans="1:9" x14ac:dyDescent="0.3">
      <c r="A52" t="s">
        <v>59</v>
      </c>
      <c r="B52" t="s">
        <v>232</v>
      </c>
      <c r="C52" t="s">
        <v>234</v>
      </c>
      <c r="D52" t="s">
        <v>244</v>
      </c>
      <c r="E52" s="3">
        <v>44941</v>
      </c>
      <c r="F52" t="s">
        <v>249</v>
      </c>
      <c r="G52">
        <v>10000</v>
      </c>
      <c r="H52" t="s">
        <v>253</v>
      </c>
      <c r="I52" t="s">
        <v>257</v>
      </c>
    </row>
    <row r="53" spans="1:9" x14ac:dyDescent="0.3">
      <c r="A53" t="s">
        <v>60</v>
      </c>
      <c r="B53" t="s">
        <v>231</v>
      </c>
      <c r="C53" t="s">
        <v>233</v>
      </c>
      <c r="D53" t="s">
        <v>245</v>
      </c>
      <c r="E53" s="3">
        <v>45232</v>
      </c>
      <c r="F53" t="s">
        <v>250</v>
      </c>
      <c r="G53">
        <v>10000</v>
      </c>
      <c r="H53" t="s">
        <v>254</v>
      </c>
      <c r="I53" t="s">
        <v>258</v>
      </c>
    </row>
    <row r="54" spans="1:9" x14ac:dyDescent="0.3">
      <c r="A54" t="s">
        <v>61</v>
      </c>
      <c r="B54" t="s">
        <v>224</v>
      </c>
      <c r="C54" t="s">
        <v>236</v>
      </c>
      <c r="D54" t="s">
        <v>243</v>
      </c>
      <c r="E54" s="3">
        <v>45222</v>
      </c>
      <c r="F54" t="s">
        <v>249</v>
      </c>
      <c r="G54">
        <v>10000</v>
      </c>
      <c r="H54" t="s">
        <v>252</v>
      </c>
      <c r="I54" t="s">
        <v>262</v>
      </c>
    </row>
    <row r="55" spans="1:9" x14ac:dyDescent="0.3">
      <c r="A55" t="s">
        <v>62</v>
      </c>
      <c r="B55" t="s">
        <v>232</v>
      </c>
      <c r="C55" t="s">
        <v>235</v>
      </c>
      <c r="D55" t="s">
        <v>244</v>
      </c>
      <c r="E55" s="3">
        <v>45147</v>
      </c>
      <c r="F55" t="s">
        <v>249</v>
      </c>
      <c r="G55">
        <v>10000</v>
      </c>
      <c r="H55" t="s">
        <v>255</v>
      </c>
      <c r="I55" t="s">
        <v>260</v>
      </c>
    </row>
    <row r="56" spans="1:9" x14ac:dyDescent="0.3">
      <c r="A56" t="s">
        <v>63</v>
      </c>
      <c r="B56" t="s">
        <v>223</v>
      </c>
      <c r="C56" t="s">
        <v>240</v>
      </c>
      <c r="D56" t="s">
        <v>241</v>
      </c>
      <c r="E56" s="3">
        <v>45268</v>
      </c>
      <c r="F56" t="s">
        <v>250</v>
      </c>
      <c r="G56">
        <v>10000</v>
      </c>
      <c r="H56" t="s">
        <v>256</v>
      </c>
      <c r="I56" t="s">
        <v>258</v>
      </c>
    </row>
    <row r="57" spans="1:9" x14ac:dyDescent="0.3">
      <c r="A57" t="s">
        <v>64</v>
      </c>
      <c r="B57" t="s">
        <v>231</v>
      </c>
      <c r="C57" t="s">
        <v>238</v>
      </c>
      <c r="D57" t="s">
        <v>247</v>
      </c>
      <c r="E57" s="3">
        <v>45142</v>
      </c>
      <c r="F57" t="s">
        <v>251</v>
      </c>
      <c r="G57">
        <v>12000</v>
      </c>
      <c r="H57" t="s">
        <v>253</v>
      </c>
      <c r="I57" t="s">
        <v>258</v>
      </c>
    </row>
    <row r="58" spans="1:9" x14ac:dyDescent="0.3">
      <c r="A58" t="s">
        <v>65</v>
      </c>
      <c r="B58" t="s">
        <v>224</v>
      </c>
      <c r="C58" t="s">
        <v>240</v>
      </c>
      <c r="D58" t="s">
        <v>243</v>
      </c>
      <c r="E58" s="3">
        <v>45207</v>
      </c>
      <c r="F58" t="s">
        <v>249</v>
      </c>
      <c r="G58">
        <v>10000</v>
      </c>
      <c r="H58" t="s">
        <v>254</v>
      </c>
      <c r="I58" t="s">
        <v>261</v>
      </c>
    </row>
    <row r="59" spans="1:9" x14ac:dyDescent="0.3">
      <c r="A59" t="s">
        <v>66</v>
      </c>
      <c r="B59" t="s">
        <v>224</v>
      </c>
      <c r="C59" t="s">
        <v>237</v>
      </c>
      <c r="D59" t="s">
        <v>248</v>
      </c>
      <c r="E59" s="3">
        <v>45153</v>
      </c>
      <c r="F59" t="s">
        <v>250</v>
      </c>
      <c r="G59">
        <v>7000</v>
      </c>
      <c r="H59" t="s">
        <v>255</v>
      </c>
      <c r="I59" t="s">
        <v>258</v>
      </c>
    </row>
    <row r="60" spans="1:9" x14ac:dyDescent="0.3">
      <c r="A60" t="s">
        <v>67</v>
      </c>
      <c r="B60" t="s">
        <v>226</v>
      </c>
      <c r="C60" t="s">
        <v>236</v>
      </c>
      <c r="D60" t="s">
        <v>241</v>
      </c>
      <c r="E60" s="3">
        <v>45190</v>
      </c>
      <c r="F60" t="s">
        <v>251</v>
      </c>
      <c r="G60">
        <v>10000</v>
      </c>
      <c r="H60" t="s">
        <v>252</v>
      </c>
      <c r="I60" t="s">
        <v>258</v>
      </c>
    </row>
    <row r="61" spans="1:9" x14ac:dyDescent="0.3">
      <c r="A61" t="s">
        <v>68</v>
      </c>
      <c r="B61" t="s">
        <v>230</v>
      </c>
      <c r="C61" t="s">
        <v>240</v>
      </c>
      <c r="D61" t="s">
        <v>247</v>
      </c>
      <c r="E61" s="3">
        <v>45028</v>
      </c>
      <c r="F61" t="s">
        <v>249</v>
      </c>
      <c r="G61">
        <v>5000</v>
      </c>
      <c r="H61" t="s">
        <v>252</v>
      </c>
      <c r="I61" t="s">
        <v>261</v>
      </c>
    </row>
    <row r="62" spans="1:9" x14ac:dyDescent="0.3">
      <c r="A62" t="s">
        <v>69</v>
      </c>
      <c r="B62" t="s">
        <v>224</v>
      </c>
      <c r="C62" t="s">
        <v>236</v>
      </c>
      <c r="D62" t="s">
        <v>248</v>
      </c>
      <c r="E62" s="3">
        <v>45139</v>
      </c>
      <c r="F62" t="s">
        <v>251</v>
      </c>
      <c r="G62">
        <v>7000</v>
      </c>
      <c r="H62" t="s">
        <v>256</v>
      </c>
      <c r="I62" t="s">
        <v>258</v>
      </c>
    </row>
    <row r="63" spans="1:9" x14ac:dyDescent="0.3">
      <c r="A63" t="s">
        <v>70</v>
      </c>
      <c r="B63" t="s">
        <v>227</v>
      </c>
      <c r="C63" t="s">
        <v>235</v>
      </c>
      <c r="D63" t="s">
        <v>246</v>
      </c>
      <c r="E63" s="3">
        <v>45262</v>
      </c>
      <c r="F63" t="s">
        <v>251</v>
      </c>
      <c r="G63">
        <v>5000</v>
      </c>
      <c r="H63" t="s">
        <v>252</v>
      </c>
      <c r="I63" t="s">
        <v>258</v>
      </c>
    </row>
    <row r="64" spans="1:9" x14ac:dyDescent="0.3">
      <c r="A64" t="s">
        <v>71</v>
      </c>
      <c r="B64" t="s">
        <v>227</v>
      </c>
      <c r="C64" t="s">
        <v>235</v>
      </c>
      <c r="D64" t="s">
        <v>246</v>
      </c>
      <c r="E64" s="3">
        <v>45283</v>
      </c>
      <c r="F64" t="s">
        <v>251</v>
      </c>
      <c r="G64">
        <v>12000</v>
      </c>
      <c r="H64" t="s">
        <v>252</v>
      </c>
      <c r="I64" t="s">
        <v>258</v>
      </c>
    </row>
    <row r="65" spans="1:9" x14ac:dyDescent="0.3">
      <c r="A65" t="s">
        <v>72</v>
      </c>
      <c r="B65" t="s">
        <v>230</v>
      </c>
      <c r="C65" t="s">
        <v>236</v>
      </c>
      <c r="D65" t="s">
        <v>248</v>
      </c>
      <c r="E65" s="3">
        <v>44995</v>
      </c>
      <c r="F65" t="s">
        <v>250</v>
      </c>
      <c r="G65">
        <v>10000</v>
      </c>
      <c r="H65" t="s">
        <v>256</v>
      </c>
      <c r="I65" t="s">
        <v>258</v>
      </c>
    </row>
    <row r="66" spans="1:9" x14ac:dyDescent="0.3">
      <c r="A66" t="s">
        <v>73</v>
      </c>
      <c r="B66" t="s">
        <v>232</v>
      </c>
      <c r="C66" t="s">
        <v>234</v>
      </c>
      <c r="D66" t="s">
        <v>248</v>
      </c>
      <c r="E66" s="3">
        <v>45008</v>
      </c>
      <c r="F66" t="s">
        <v>251</v>
      </c>
      <c r="G66">
        <v>12000</v>
      </c>
      <c r="H66" t="s">
        <v>256</v>
      </c>
      <c r="I66" t="s">
        <v>258</v>
      </c>
    </row>
    <row r="67" spans="1:9" x14ac:dyDescent="0.3">
      <c r="A67" t="s">
        <v>74</v>
      </c>
      <c r="B67" t="s">
        <v>230</v>
      </c>
      <c r="C67" t="s">
        <v>240</v>
      </c>
      <c r="D67" t="s">
        <v>248</v>
      </c>
      <c r="E67" s="3">
        <v>45247</v>
      </c>
      <c r="F67" t="s">
        <v>249</v>
      </c>
      <c r="G67">
        <v>10000</v>
      </c>
      <c r="H67" t="s">
        <v>256</v>
      </c>
      <c r="I67" t="s">
        <v>259</v>
      </c>
    </row>
    <row r="68" spans="1:9" x14ac:dyDescent="0.3">
      <c r="A68" t="s">
        <v>75</v>
      </c>
      <c r="B68" t="s">
        <v>231</v>
      </c>
      <c r="C68" t="s">
        <v>235</v>
      </c>
      <c r="D68" t="s">
        <v>241</v>
      </c>
      <c r="E68" s="3">
        <v>45098</v>
      </c>
      <c r="F68" t="s">
        <v>250</v>
      </c>
      <c r="G68">
        <v>5000</v>
      </c>
      <c r="H68" t="s">
        <v>253</v>
      </c>
      <c r="I68" t="s">
        <v>258</v>
      </c>
    </row>
    <row r="69" spans="1:9" x14ac:dyDescent="0.3">
      <c r="A69" t="s">
        <v>76</v>
      </c>
      <c r="B69" t="s">
        <v>230</v>
      </c>
      <c r="C69" t="s">
        <v>234</v>
      </c>
      <c r="D69" t="s">
        <v>246</v>
      </c>
      <c r="E69" s="3">
        <v>45288</v>
      </c>
      <c r="F69" t="s">
        <v>249</v>
      </c>
      <c r="G69">
        <v>5000</v>
      </c>
      <c r="H69" t="s">
        <v>256</v>
      </c>
      <c r="I69" t="s">
        <v>262</v>
      </c>
    </row>
    <row r="70" spans="1:9" x14ac:dyDescent="0.3">
      <c r="A70" t="s">
        <v>77</v>
      </c>
      <c r="B70" t="s">
        <v>232</v>
      </c>
      <c r="C70" t="s">
        <v>239</v>
      </c>
      <c r="D70" t="s">
        <v>243</v>
      </c>
      <c r="E70" s="3">
        <v>44958</v>
      </c>
      <c r="F70" t="s">
        <v>249</v>
      </c>
      <c r="G70">
        <v>12000</v>
      </c>
      <c r="H70" t="s">
        <v>256</v>
      </c>
      <c r="I70" t="s">
        <v>257</v>
      </c>
    </row>
    <row r="71" spans="1:9" x14ac:dyDescent="0.3">
      <c r="A71" t="s">
        <v>78</v>
      </c>
      <c r="B71" t="s">
        <v>225</v>
      </c>
      <c r="C71" t="s">
        <v>234</v>
      </c>
      <c r="D71" t="s">
        <v>248</v>
      </c>
      <c r="E71" s="3">
        <v>44930</v>
      </c>
      <c r="F71" t="s">
        <v>250</v>
      </c>
      <c r="G71">
        <v>10000</v>
      </c>
      <c r="H71" t="s">
        <v>256</v>
      </c>
      <c r="I71" t="s">
        <v>258</v>
      </c>
    </row>
    <row r="72" spans="1:9" x14ac:dyDescent="0.3">
      <c r="A72" t="s">
        <v>79</v>
      </c>
      <c r="B72" t="s">
        <v>227</v>
      </c>
      <c r="C72" t="s">
        <v>235</v>
      </c>
      <c r="D72" t="s">
        <v>248</v>
      </c>
      <c r="E72" s="3">
        <v>45039</v>
      </c>
      <c r="F72" t="s">
        <v>250</v>
      </c>
      <c r="G72">
        <v>12000</v>
      </c>
      <c r="H72" t="s">
        <v>256</v>
      </c>
      <c r="I72" t="s">
        <v>258</v>
      </c>
    </row>
    <row r="73" spans="1:9" x14ac:dyDescent="0.3">
      <c r="A73" t="s">
        <v>80</v>
      </c>
      <c r="B73" t="s">
        <v>227</v>
      </c>
      <c r="C73" t="s">
        <v>237</v>
      </c>
      <c r="D73" t="s">
        <v>243</v>
      </c>
      <c r="E73" s="3">
        <v>45011</v>
      </c>
      <c r="F73" t="s">
        <v>250</v>
      </c>
      <c r="G73">
        <v>7000</v>
      </c>
      <c r="H73" t="s">
        <v>255</v>
      </c>
      <c r="I73" t="s">
        <v>258</v>
      </c>
    </row>
    <row r="74" spans="1:9" x14ac:dyDescent="0.3">
      <c r="A74" t="s">
        <v>81</v>
      </c>
      <c r="B74" t="s">
        <v>225</v>
      </c>
      <c r="C74" t="s">
        <v>234</v>
      </c>
      <c r="D74" t="s">
        <v>242</v>
      </c>
      <c r="E74" s="3">
        <v>44969</v>
      </c>
      <c r="F74" t="s">
        <v>251</v>
      </c>
      <c r="G74">
        <v>12000</v>
      </c>
      <c r="H74" t="s">
        <v>253</v>
      </c>
      <c r="I74" t="s">
        <v>258</v>
      </c>
    </row>
    <row r="75" spans="1:9" x14ac:dyDescent="0.3">
      <c r="A75" t="s">
        <v>82</v>
      </c>
      <c r="B75" t="s">
        <v>228</v>
      </c>
      <c r="C75" t="s">
        <v>238</v>
      </c>
      <c r="D75" t="s">
        <v>242</v>
      </c>
      <c r="E75" s="3">
        <v>45060</v>
      </c>
      <c r="F75" t="s">
        <v>250</v>
      </c>
      <c r="G75">
        <v>10000</v>
      </c>
      <c r="H75" t="s">
        <v>253</v>
      </c>
      <c r="I75" t="s">
        <v>258</v>
      </c>
    </row>
    <row r="76" spans="1:9" x14ac:dyDescent="0.3">
      <c r="A76" t="s">
        <v>83</v>
      </c>
      <c r="B76" t="s">
        <v>229</v>
      </c>
      <c r="C76" t="s">
        <v>237</v>
      </c>
      <c r="D76" t="s">
        <v>243</v>
      </c>
      <c r="E76" s="3">
        <v>45069</v>
      </c>
      <c r="F76" t="s">
        <v>250</v>
      </c>
      <c r="G76">
        <v>10000</v>
      </c>
      <c r="H76" t="s">
        <v>252</v>
      </c>
      <c r="I76" t="s">
        <v>258</v>
      </c>
    </row>
    <row r="77" spans="1:9" x14ac:dyDescent="0.3">
      <c r="A77" t="s">
        <v>84</v>
      </c>
      <c r="B77" t="s">
        <v>225</v>
      </c>
      <c r="C77" t="s">
        <v>233</v>
      </c>
      <c r="D77" t="s">
        <v>244</v>
      </c>
      <c r="E77" s="3">
        <v>45041</v>
      </c>
      <c r="F77" t="s">
        <v>251</v>
      </c>
      <c r="G77">
        <v>5000</v>
      </c>
      <c r="H77" t="s">
        <v>252</v>
      </c>
      <c r="I77" t="s">
        <v>258</v>
      </c>
    </row>
    <row r="78" spans="1:9" x14ac:dyDescent="0.3">
      <c r="A78" t="s">
        <v>85</v>
      </c>
      <c r="B78" t="s">
        <v>225</v>
      </c>
      <c r="C78" t="s">
        <v>235</v>
      </c>
      <c r="D78" t="s">
        <v>247</v>
      </c>
      <c r="E78" s="3">
        <v>44937</v>
      </c>
      <c r="F78" t="s">
        <v>251</v>
      </c>
      <c r="G78">
        <v>7000</v>
      </c>
      <c r="H78" t="s">
        <v>253</v>
      </c>
      <c r="I78" t="s">
        <v>258</v>
      </c>
    </row>
    <row r="79" spans="1:9" x14ac:dyDescent="0.3">
      <c r="A79" t="s">
        <v>86</v>
      </c>
      <c r="B79" t="s">
        <v>228</v>
      </c>
      <c r="C79" t="s">
        <v>236</v>
      </c>
      <c r="D79" t="s">
        <v>247</v>
      </c>
      <c r="E79" s="3">
        <v>45165</v>
      </c>
      <c r="F79" t="s">
        <v>251</v>
      </c>
      <c r="G79">
        <v>10000</v>
      </c>
      <c r="H79" t="s">
        <v>254</v>
      </c>
      <c r="I79" t="s">
        <v>258</v>
      </c>
    </row>
    <row r="80" spans="1:9" x14ac:dyDescent="0.3">
      <c r="A80" t="s">
        <v>87</v>
      </c>
      <c r="B80" t="s">
        <v>224</v>
      </c>
      <c r="C80" t="s">
        <v>236</v>
      </c>
      <c r="D80" t="s">
        <v>246</v>
      </c>
      <c r="E80" s="3">
        <v>45086</v>
      </c>
      <c r="F80" t="s">
        <v>249</v>
      </c>
      <c r="G80">
        <v>5000</v>
      </c>
      <c r="H80" t="s">
        <v>254</v>
      </c>
      <c r="I80" t="s">
        <v>257</v>
      </c>
    </row>
    <row r="81" spans="1:9" x14ac:dyDescent="0.3">
      <c r="A81" t="s">
        <v>88</v>
      </c>
      <c r="B81" t="s">
        <v>227</v>
      </c>
      <c r="C81" t="s">
        <v>234</v>
      </c>
      <c r="D81" t="s">
        <v>247</v>
      </c>
      <c r="E81" s="3">
        <v>44965</v>
      </c>
      <c r="F81" t="s">
        <v>251</v>
      </c>
      <c r="G81">
        <v>7000</v>
      </c>
      <c r="H81" t="s">
        <v>252</v>
      </c>
      <c r="I81" t="s">
        <v>258</v>
      </c>
    </row>
    <row r="82" spans="1:9" x14ac:dyDescent="0.3">
      <c r="A82" t="s">
        <v>64</v>
      </c>
      <c r="B82" t="s">
        <v>231</v>
      </c>
      <c r="C82" t="s">
        <v>236</v>
      </c>
      <c r="D82" t="s">
        <v>242</v>
      </c>
      <c r="E82" s="3">
        <v>45104</v>
      </c>
      <c r="F82" t="s">
        <v>251</v>
      </c>
      <c r="G82">
        <v>12000</v>
      </c>
      <c r="H82" t="s">
        <v>254</v>
      </c>
      <c r="I82" t="s">
        <v>258</v>
      </c>
    </row>
    <row r="83" spans="1:9" x14ac:dyDescent="0.3">
      <c r="A83" t="s">
        <v>89</v>
      </c>
      <c r="B83" t="s">
        <v>232</v>
      </c>
      <c r="C83" t="s">
        <v>237</v>
      </c>
      <c r="D83" t="s">
        <v>242</v>
      </c>
      <c r="E83" s="3">
        <v>45142</v>
      </c>
      <c r="F83" t="s">
        <v>250</v>
      </c>
      <c r="G83">
        <v>5000</v>
      </c>
      <c r="H83" t="s">
        <v>256</v>
      </c>
      <c r="I83" t="s">
        <v>258</v>
      </c>
    </row>
    <row r="84" spans="1:9" x14ac:dyDescent="0.3">
      <c r="A84" t="s">
        <v>90</v>
      </c>
      <c r="B84" t="s">
        <v>229</v>
      </c>
      <c r="C84" t="s">
        <v>239</v>
      </c>
      <c r="D84" t="s">
        <v>246</v>
      </c>
      <c r="E84" s="3">
        <v>45149</v>
      </c>
      <c r="F84" t="s">
        <v>249</v>
      </c>
      <c r="G84">
        <v>10000</v>
      </c>
      <c r="H84" t="s">
        <v>255</v>
      </c>
      <c r="I84" t="s">
        <v>257</v>
      </c>
    </row>
    <row r="85" spans="1:9" x14ac:dyDescent="0.3">
      <c r="A85" t="s">
        <v>91</v>
      </c>
      <c r="B85" t="s">
        <v>228</v>
      </c>
      <c r="C85" t="s">
        <v>239</v>
      </c>
      <c r="D85" t="s">
        <v>243</v>
      </c>
      <c r="E85" s="3">
        <v>45230</v>
      </c>
      <c r="F85" t="s">
        <v>250</v>
      </c>
      <c r="G85">
        <v>10000</v>
      </c>
      <c r="H85" t="s">
        <v>253</v>
      </c>
      <c r="I85" t="s">
        <v>258</v>
      </c>
    </row>
    <row r="86" spans="1:9" x14ac:dyDescent="0.3">
      <c r="A86" t="s">
        <v>92</v>
      </c>
      <c r="B86" t="s">
        <v>223</v>
      </c>
      <c r="C86" t="s">
        <v>240</v>
      </c>
      <c r="D86" t="s">
        <v>248</v>
      </c>
      <c r="E86" s="3">
        <v>45051</v>
      </c>
      <c r="F86" t="s">
        <v>250</v>
      </c>
      <c r="G86">
        <v>12000</v>
      </c>
      <c r="H86" t="s">
        <v>254</v>
      </c>
      <c r="I86" t="s">
        <v>258</v>
      </c>
    </row>
    <row r="87" spans="1:9" x14ac:dyDescent="0.3">
      <c r="A87" t="s">
        <v>80</v>
      </c>
      <c r="B87" t="s">
        <v>228</v>
      </c>
      <c r="C87" t="s">
        <v>237</v>
      </c>
      <c r="D87" t="s">
        <v>246</v>
      </c>
      <c r="E87" s="3">
        <v>45176</v>
      </c>
      <c r="F87" t="s">
        <v>249</v>
      </c>
      <c r="G87">
        <v>10000</v>
      </c>
      <c r="H87" t="s">
        <v>254</v>
      </c>
      <c r="I87" t="s">
        <v>260</v>
      </c>
    </row>
    <row r="88" spans="1:9" x14ac:dyDescent="0.3">
      <c r="A88" t="s">
        <v>93</v>
      </c>
      <c r="B88" t="s">
        <v>224</v>
      </c>
      <c r="C88" t="s">
        <v>240</v>
      </c>
      <c r="D88" t="s">
        <v>242</v>
      </c>
      <c r="E88" s="3">
        <v>45191</v>
      </c>
      <c r="F88" t="s">
        <v>249</v>
      </c>
      <c r="G88">
        <v>5000</v>
      </c>
      <c r="H88" t="s">
        <v>253</v>
      </c>
      <c r="I88" t="s">
        <v>262</v>
      </c>
    </row>
    <row r="89" spans="1:9" x14ac:dyDescent="0.3">
      <c r="A89" t="s">
        <v>94</v>
      </c>
      <c r="B89" t="s">
        <v>232</v>
      </c>
      <c r="C89" t="s">
        <v>235</v>
      </c>
      <c r="D89" t="s">
        <v>248</v>
      </c>
      <c r="E89" s="3">
        <v>45257</v>
      </c>
      <c r="F89" t="s">
        <v>251</v>
      </c>
      <c r="G89">
        <v>12000</v>
      </c>
      <c r="H89" t="s">
        <v>256</v>
      </c>
      <c r="I89" t="s">
        <v>258</v>
      </c>
    </row>
    <row r="90" spans="1:9" x14ac:dyDescent="0.3">
      <c r="A90" t="s">
        <v>95</v>
      </c>
      <c r="B90" t="s">
        <v>225</v>
      </c>
      <c r="C90" t="s">
        <v>236</v>
      </c>
      <c r="D90" t="s">
        <v>241</v>
      </c>
      <c r="E90" s="3">
        <v>45040</v>
      </c>
      <c r="F90" t="s">
        <v>250</v>
      </c>
      <c r="G90">
        <v>7000</v>
      </c>
      <c r="H90" t="s">
        <v>254</v>
      </c>
      <c r="I90" t="s">
        <v>258</v>
      </c>
    </row>
    <row r="91" spans="1:9" x14ac:dyDescent="0.3">
      <c r="A91" t="s">
        <v>63</v>
      </c>
      <c r="B91" t="s">
        <v>224</v>
      </c>
      <c r="C91" t="s">
        <v>237</v>
      </c>
      <c r="D91" t="s">
        <v>248</v>
      </c>
      <c r="E91" s="3">
        <v>45210</v>
      </c>
      <c r="F91" t="s">
        <v>251</v>
      </c>
      <c r="G91">
        <v>10000</v>
      </c>
      <c r="H91" t="s">
        <v>256</v>
      </c>
      <c r="I91" t="s">
        <v>258</v>
      </c>
    </row>
    <row r="92" spans="1:9" x14ac:dyDescent="0.3">
      <c r="A92" t="s">
        <v>96</v>
      </c>
      <c r="B92" t="s">
        <v>232</v>
      </c>
      <c r="C92" t="s">
        <v>237</v>
      </c>
      <c r="D92" t="s">
        <v>244</v>
      </c>
      <c r="E92" s="3">
        <v>45286</v>
      </c>
      <c r="F92" t="s">
        <v>250</v>
      </c>
      <c r="G92">
        <v>10000</v>
      </c>
      <c r="H92" t="s">
        <v>254</v>
      </c>
      <c r="I92" t="s">
        <v>258</v>
      </c>
    </row>
    <row r="93" spans="1:9" x14ac:dyDescent="0.3">
      <c r="A93" t="s">
        <v>97</v>
      </c>
      <c r="B93" t="s">
        <v>230</v>
      </c>
      <c r="C93" t="s">
        <v>236</v>
      </c>
      <c r="D93" t="s">
        <v>247</v>
      </c>
      <c r="E93" s="3">
        <v>45088</v>
      </c>
      <c r="F93" t="s">
        <v>249</v>
      </c>
      <c r="G93">
        <v>7000</v>
      </c>
      <c r="H93" t="s">
        <v>253</v>
      </c>
      <c r="I93" t="s">
        <v>261</v>
      </c>
    </row>
    <row r="94" spans="1:9" x14ac:dyDescent="0.3">
      <c r="A94" t="s">
        <v>98</v>
      </c>
      <c r="B94" t="s">
        <v>228</v>
      </c>
      <c r="C94" t="s">
        <v>240</v>
      </c>
      <c r="D94" t="s">
        <v>241</v>
      </c>
      <c r="E94" s="3">
        <v>44978</v>
      </c>
      <c r="F94" t="s">
        <v>249</v>
      </c>
      <c r="G94">
        <v>10000</v>
      </c>
      <c r="H94" t="s">
        <v>253</v>
      </c>
      <c r="I94" t="s">
        <v>260</v>
      </c>
    </row>
    <row r="95" spans="1:9" x14ac:dyDescent="0.3">
      <c r="A95" t="s">
        <v>99</v>
      </c>
      <c r="B95" t="s">
        <v>231</v>
      </c>
      <c r="C95" t="s">
        <v>233</v>
      </c>
      <c r="D95" t="s">
        <v>246</v>
      </c>
      <c r="E95" s="3">
        <v>45067</v>
      </c>
      <c r="F95" t="s">
        <v>249</v>
      </c>
      <c r="G95">
        <v>5000</v>
      </c>
      <c r="H95" t="s">
        <v>255</v>
      </c>
      <c r="I95" t="s">
        <v>260</v>
      </c>
    </row>
    <row r="96" spans="1:9" x14ac:dyDescent="0.3">
      <c r="A96" t="s">
        <v>100</v>
      </c>
      <c r="B96" t="s">
        <v>226</v>
      </c>
      <c r="C96" t="s">
        <v>239</v>
      </c>
      <c r="D96" t="s">
        <v>245</v>
      </c>
      <c r="E96" s="3">
        <v>44933</v>
      </c>
      <c r="F96" t="s">
        <v>251</v>
      </c>
      <c r="G96">
        <v>10000</v>
      </c>
      <c r="H96" t="s">
        <v>256</v>
      </c>
      <c r="I96" t="s">
        <v>258</v>
      </c>
    </row>
    <row r="97" spans="1:9" x14ac:dyDescent="0.3">
      <c r="A97" t="s">
        <v>101</v>
      </c>
      <c r="B97" t="s">
        <v>228</v>
      </c>
      <c r="C97" t="s">
        <v>237</v>
      </c>
      <c r="D97" t="s">
        <v>246</v>
      </c>
      <c r="E97" s="3">
        <v>44953</v>
      </c>
      <c r="F97" t="s">
        <v>250</v>
      </c>
      <c r="G97">
        <v>12000</v>
      </c>
      <c r="H97" t="s">
        <v>252</v>
      </c>
      <c r="I97" t="s">
        <v>258</v>
      </c>
    </row>
    <row r="98" spans="1:9" x14ac:dyDescent="0.3">
      <c r="A98" t="s">
        <v>102</v>
      </c>
      <c r="B98" t="s">
        <v>223</v>
      </c>
      <c r="C98" t="s">
        <v>234</v>
      </c>
      <c r="D98" t="s">
        <v>248</v>
      </c>
      <c r="E98" s="3">
        <v>44964</v>
      </c>
      <c r="F98" t="s">
        <v>251</v>
      </c>
      <c r="G98">
        <v>5000</v>
      </c>
      <c r="H98" t="s">
        <v>253</v>
      </c>
      <c r="I98" t="s">
        <v>258</v>
      </c>
    </row>
    <row r="99" spans="1:9" x14ac:dyDescent="0.3">
      <c r="A99" t="s">
        <v>103</v>
      </c>
      <c r="B99" t="s">
        <v>224</v>
      </c>
      <c r="C99" t="s">
        <v>240</v>
      </c>
      <c r="D99" t="s">
        <v>245</v>
      </c>
      <c r="E99" s="3">
        <v>45054</v>
      </c>
      <c r="F99" t="s">
        <v>249</v>
      </c>
      <c r="G99">
        <v>12000</v>
      </c>
      <c r="H99" t="s">
        <v>255</v>
      </c>
      <c r="I99" t="s">
        <v>257</v>
      </c>
    </row>
    <row r="100" spans="1:9" x14ac:dyDescent="0.3">
      <c r="A100" t="s">
        <v>104</v>
      </c>
      <c r="B100" t="s">
        <v>224</v>
      </c>
      <c r="C100" t="s">
        <v>235</v>
      </c>
      <c r="D100" t="s">
        <v>243</v>
      </c>
      <c r="E100" s="3">
        <v>45157</v>
      </c>
      <c r="F100" t="s">
        <v>250</v>
      </c>
      <c r="G100">
        <v>10000</v>
      </c>
      <c r="H100" t="s">
        <v>255</v>
      </c>
      <c r="I100" t="s">
        <v>258</v>
      </c>
    </row>
    <row r="101" spans="1:9" x14ac:dyDescent="0.3">
      <c r="A101" t="s">
        <v>105</v>
      </c>
      <c r="B101" t="s">
        <v>231</v>
      </c>
      <c r="C101" t="s">
        <v>233</v>
      </c>
      <c r="D101" t="s">
        <v>245</v>
      </c>
      <c r="E101" s="3">
        <v>45033</v>
      </c>
      <c r="F101" t="s">
        <v>251</v>
      </c>
      <c r="G101">
        <v>7000</v>
      </c>
      <c r="H101" t="s">
        <v>254</v>
      </c>
      <c r="I101" t="s">
        <v>258</v>
      </c>
    </row>
    <row r="102" spans="1:9" x14ac:dyDescent="0.3">
      <c r="A102" t="s">
        <v>106</v>
      </c>
      <c r="B102" t="s">
        <v>223</v>
      </c>
      <c r="C102" t="s">
        <v>238</v>
      </c>
      <c r="D102" t="s">
        <v>247</v>
      </c>
      <c r="E102" s="3">
        <v>45015</v>
      </c>
      <c r="F102" t="s">
        <v>251</v>
      </c>
      <c r="G102">
        <v>5000</v>
      </c>
      <c r="H102" t="s">
        <v>253</v>
      </c>
      <c r="I102" t="s">
        <v>258</v>
      </c>
    </row>
    <row r="103" spans="1:9" x14ac:dyDescent="0.3">
      <c r="A103" t="s">
        <v>107</v>
      </c>
      <c r="B103" t="s">
        <v>227</v>
      </c>
      <c r="C103" t="s">
        <v>239</v>
      </c>
      <c r="D103" t="s">
        <v>248</v>
      </c>
      <c r="E103" s="3">
        <v>45076</v>
      </c>
      <c r="F103" t="s">
        <v>249</v>
      </c>
      <c r="G103">
        <v>7000</v>
      </c>
      <c r="H103" t="s">
        <v>254</v>
      </c>
      <c r="I103" t="s">
        <v>260</v>
      </c>
    </row>
    <row r="104" spans="1:9" x14ac:dyDescent="0.3">
      <c r="A104" t="s">
        <v>108</v>
      </c>
      <c r="B104" t="s">
        <v>228</v>
      </c>
      <c r="C104" t="s">
        <v>236</v>
      </c>
      <c r="D104" t="s">
        <v>247</v>
      </c>
      <c r="E104" s="3">
        <v>45062</v>
      </c>
      <c r="F104" t="s">
        <v>251</v>
      </c>
      <c r="G104">
        <v>7000</v>
      </c>
      <c r="H104" t="s">
        <v>256</v>
      </c>
      <c r="I104" t="s">
        <v>258</v>
      </c>
    </row>
    <row r="105" spans="1:9" x14ac:dyDescent="0.3">
      <c r="A105" t="s">
        <v>109</v>
      </c>
      <c r="B105" t="s">
        <v>232</v>
      </c>
      <c r="C105" t="s">
        <v>235</v>
      </c>
      <c r="D105" t="s">
        <v>246</v>
      </c>
      <c r="E105" s="3">
        <v>45063</v>
      </c>
      <c r="F105" t="s">
        <v>249</v>
      </c>
      <c r="G105">
        <v>5000</v>
      </c>
      <c r="H105" t="s">
        <v>252</v>
      </c>
      <c r="I105" t="s">
        <v>261</v>
      </c>
    </row>
    <row r="106" spans="1:9" x14ac:dyDescent="0.3">
      <c r="A106" t="s">
        <v>95</v>
      </c>
      <c r="B106" t="s">
        <v>231</v>
      </c>
      <c r="C106" t="s">
        <v>240</v>
      </c>
      <c r="D106" t="s">
        <v>248</v>
      </c>
      <c r="E106" s="3">
        <v>44990</v>
      </c>
      <c r="F106" t="s">
        <v>250</v>
      </c>
      <c r="G106">
        <v>10000</v>
      </c>
      <c r="H106" t="s">
        <v>256</v>
      </c>
      <c r="I106" t="s">
        <v>258</v>
      </c>
    </row>
    <row r="107" spans="1:9" x14ac:dyDescent="0.3">
      <c r="A107" t="s">
        <v>110</v>
      </c>
      <c r="B107" t="s">
        <v>231</v>
      </c>
      <c r="C107" t="s">
        <v>239</v>
      </c>
      <c r="D107" t="s">
        <v>248</v>
      </c>
      <c r="E107" s="3">
        <v>44968</v>
      </c>
      <c r="F107" t="s">
        <v>251</v>
      </c>
      <c r="G107">
        <v>5000</v>
      </c>
      <c r="H107" t="s">
        <v>256</v>
      </c>
      <c r="I107" t="s">
        <v>258</v>
      </c>
    </row>
    <row r="108" spans="1:9" x14ac:dyDescent="0.3">
      <c r="A108" t="s">
        <v>111</v>
      </c>
      <c r="B108" t="s">
        <v>229</v>
      </c>
      <c r="C108" t="s">
        <v>240</v>
      </c>
      <c r="D108" t="s">
        <v>242</v>
      </c>
      <c r="E108" s="3">
        <v>44973</v>
      </c>
      <c r="F108" t="s">
        <v>249</v>
      </c>
      <c r="G108">
        <v>5000</v>
      </c>
      <c r="H108" t="s">
        <v>254</v>
      </c>
      <c r="I108" t="s">
        <v>257</v>
      </c>
    </row>
    <row r="109" spans="1:9" x14ac:dyDescent="0.3">
      <c r="A109" t="s">
        <v>112</v>
      </c>
      <c r="B109" t="s">
        <v>226</v>
      </c>
      <c r="C109" t="s">
        <v>239</v>
      </c>
      <c r="D109" t="s">
        <v>248</v>
      </c>
      <c r="E109" s="3">
        <v>45069</v>
      </c>
      <c r="F109" t="s">
        <v>249</v>
      </c>
      <c r="G109">
        <v>12000</v>
      </c>
      <c r="H109" t="s">
        <v>256</v>
      </c>
      <c r="I109" t="s">
        <v>259</v>
      </c>
    </row>
    <row r="110" spans="1:9" x14ac:dyDescent="0.3">
      <c r="A110" t="s">
        <v>84</v>
      </c>
      <c r="B110" t="s">
        <v>229</v>
      </c>
      <c r="C110" t="s">
        <v>234</v>
      </c>
      <c r="D110" t="s">
        <v>244</v>
      </c>
      <c r="E110" s="3">
        <v>45091</v>
      </c>
      <c r="F110" t="s">
        <v>251</v>
      </c>
      <c r="G110">
        <v>5000</v>
      </c>
      <c r="H110" t="s">
        <v>253</v>
      </c>
      <c r="I110" t="s">
        <v>258</v>
      </c>
    </row>
    <row r="111" spans="1:9" x14ac:dyDescent="0.3">
      <c r="A111" t="s">
        <v>113</v>
      </c>
      <c r="B111" t="s">
        <v>227</v>
      </c>
      <c r="C111" t="s">
        <v>239</v>
      </c>
      <c r="D111" t="s">
        <v>241</v>
      </c>
      <c r="E111" s="3">
        <v>45266</v>
      </c>
      <c r="F111" t="s">
        <v>250</v>
      </c>
      <c r="G111">
        <v>5000</v>
      </c>
      <c r="H111" t="s">
        <v>256</v>
      </c>
      <c r="I111" t="s">
        <v>258</v>
      </c>
    </row>
    <row r="112" spans="1:9" x14ac:dyDescent="0.3">
      <c r="A112" t="s">
        <v>114</v>
      </c>
      <c r="B112" t="s">
        <v>229</v>
      </c>
      <c r="C112" t="s">
        <v>240</v>
      </c>
      <c r="D112" t="s">
        <v>244</v>
      </c>
      <c r="E112" s="3">
        <v>44986</v>
      </c>
      <c r="F112" t="s">
        <v>250</v>
      </c>
      <c r="G112">
        <v>5000</v>
      </c>
      <c r="H112" t="s">
        <v>255</v>
      </c>
      <c r="I112" t="s">
        <v>258</v>
      </c>
    </row>
    <row r="113" spans="1:9" x14ac:dyDescent="0.3">
      <c r="A113" t="s">
        <v>115</v>
      </c>
      <c r="B113" t="s">
        <v>227</v>
      </c>
      <c r="C113" t="s">
        <v>233</v>
      </c>
      <c r="D113" t="s">
        <v>247</v>
      </c>
      <c r="E113" s="3">
        <v>45192</v>
      </c>
      <c r="F113" t="s">
        <v>250</v>
      </c>
      <c r="G113">
        <v>12000</v>
      </c>
      <c r="H113" t="s">
        <v>256</v>
      </c>
      <c r="I113" t="s">
        <v>258</v>
      </c>
    </row>
    <row r="114" spans="1:9" x14ac:dyDescent="0.3">
      <c r="A114" t="s">
        <v>29</v>
      </c>
      <c r="B114" t="s">
        <v>225</v>
      </c>
      <c r="C114" t="s">
        <v>235</v>
      </c>
      <c r="D114" t="s">
        <v>241</v>
      </c>
      <c r="E114" s="3">
        <v>45208</v>
      </c>
      <c r="F114" t="s">
        <v>249</v>
      </c>
      <c r="G114">
        <v>10000</v>
      </c>
      <c r="H114" t="s">
        <v>256</v>
      </c>
      <c r="I114" t="s">
        <v>262</v>
      </c>
    </row>
    <row r="115" spans="1:9" x14ac:dyDescent="0.3">
      <c r="A115" t="s">
        <v>116</v>
      </c>
      <c r="B115" t="s">
        <v>225</v>
      </c>
      <c r="C115" t="s">
        <v>235</v>
      </c>
      <c r="D115" t="s">
        <v>246</v>
      </c>
      <c r="E115" s="3">
        <v>45086</v>
      </c>
      <c r="F115" t="s">
        <v>251</v>
      </c>
      <c r="G115">
        <v>5000</v>
      </c>
      <c r="H115" t="s">
        <v>255</v>
      </c>
      <c r="I115" t="s">
        <v>258</v>
      </c>
    </row>
    <row r="116" spans="1:9" x14ac:dyDescent="0.3">
      <c r="A116" t="s">
        <v>117</v>
      </c>
      <c r="B116" t="s">
        <v>223</v>
      </c>
      <c r="C116" t="s">
        <v>235</v>
      </c>
      <c r="D116" t="s">
        <v>245</v>
      </c>
      <c r="E116" s="3">
        <v>45163</v>
      </c>
      <c r="F116" t="s">
        <v>249</v>
      </c>
      <c r="G116">
        <v>7000</v>
      </c>
      <c r="H116" t="s">
        <v>256</v>
      </c>
      <c r="I116" t="s">
        <v>260</v>
      </c>
    </row>
    <row r="117" spans="1:9" x14ac:dyDescent="0.3">
      <c r="A117" t="s">
        <v>118</v>
      </c>
      <c r="B117" t="s">
        <v>231</v>
      </c>
      <c r="C117" t="s">
        <v>234</v>
      </c>
      <c r="D117" t="s">
        <v>248</v>
      </c>
      <c r="E117" s="3">
        <v>45168</v>
      </c>
      <c r="F117" t="s">
        <v>249</v>
      </c>
      <c r="G117">
        <v>12000</v>
      </c>
      <c r="H117" t="s">
        <v>255</v>
      </c>
      <c r="I117" t="s">
        <v>261</v>
      </c>
    </row>
    <row r="118" spans="1:9" x14ac:dyDescent="0.3">
      <c r="A118" t="s">
        <v>119</v>
      </c>
      <c r="B118" t="s">
        <v>230</v>
      </c>
      <c r="C118" t="s">
        <v>238</v>
      </c>
      <c r="D118" t="s">
        <v>245</v>
      </c>
      <c r="E118" s="3">
        <v>45068</v>
      </c>
      <c r="F118" t="s">
        <v>250</v>
      </c>
      <c r="G118">
        <v>10000</v>
      </c>
      <c r="H118" t="s">
        <v>255</v>
      </c>
      <c r="I118" t="s">
        <v>258</v>
      </c>
    </row>
    <row r="119" spans="1:9" x14ac:dyDescent="0.3">
      <c r="A119" t="s">
        <v>120</v>
      </c>
      <c r="B119" t="s">
        <v>225</v>
      </c>
      <c r="C119" t="s">
        <v>240</v>
      </c>
      <c r="D119" t="s">
        <v>241</v>
      </c>
      <c r="E119" s="3">
        <v>45227</v>
      </c>
      <c r="F119" t="s">
        <v>251</v>
      </c>
      <c r="G119">
        <v>12000</v>
      </c>
      <c r="H119" t="s">
        <v>253</v>
      </c>
      <c r="I119" t="s">
        <v>258</v>
      </c>
    </row>
    <row r="120" spans="1:9" x14ac:dyDescent="0.3">
      <c r="A120" t="s">
        <v>121</v>
      </c>
      <c r="B120" t="s">
        <v>232</v>
      </c>
      <c r="C120" t="s">
        <v>239</v>
      </c>
      <c r="D120" t="s">
        <v>244</v>
      </c>
      <c r="E120" s="3">
        <v>45097</v>
      </c>
      <c r="F120" t="s">
        <v>251</v>
      </c>
      <c r="G120">
        <v>12000</v>
      </c>
      <c r="H120" t="s">
        <v>256</v>
      </c>
      <c r="I120" t="s">
        <v>258</v>
      </c>
    </row>
    <row r="121" spans="1:9" x14ac:dyDescent="0.3">
      <c r="A121" t="s">
        <v>122</v>
      </c>
      <c r="B121" t="s">
        <v>229</v>
      </c>
      <c r="C121" t="s">
        <v>235</v>
      </c>
      <c r="D121" t="s">
        <v>247</v>
      </c>
      <c r="E121" s="3">
        <v>45219</v>
      </c>
      <c r="F121" t="s">
        <v>250</v>
      </c>
      <c r="G121">
        <v>7000</v>
      </c>
      <c r="H121" t="s">
        <v>256</v>
      </c>
      <c r="I121" t="s">
        <v>258</v>
      </c>
    </row>
    <row r="122" spans="1:9" x14ac:dyDescent="0.3">
      <c r="A122" t="s">
        <v>123</v>
      </c>
      <c r="B122" t="s">
        <v>229</v>
      </c>
      <c r="C122" t="s">
        <v>239</v>
      </c>
      <c r="D122" t="s">
        <v>243</v>
      </c>
      <c r="E122" s="3">
        <v>45124</v>
      </c>
      <c r="F122" t="s">
        <v>251</v>
      </c>
      <c r="G122">
        <v>7000</v>
      </c>
      <c r="H122" t="s">
        <v>256</v>
      </c>
      <c r="I122" t="s">
        <v>258</v>
      </c>
    </row>
    <row r="123" spans="1:9" x14ac:dyDescent="0.3">
      <c r="A123" t="s">
        <v>124</v>
      </c>
      <c r="B123" t="s">
        <v>225</v>
      </c>
      <c r="C123" t="s">
        <v>238</v>
      </c>
      <c r="D123" t="s">
        <v>244</v>
      </c>
      <c r="E123" s="3">
        <v>44978</v>
      </c>
      <c r="F123" t="s">
        <v>250</v>
      </c>
      <c r="G123">
        <v>5000</v>
      </c>
      <c r="H123" t="s">
        <v>255</v>
      </c>
      <c r="I123" t="s">
        <v>258</v>
      </c>
    </row>
    <row r="124" spans="1:9" x14ac:dyDescent="0.3">
      <c r="A124" t="s">
        <v>125</v>
      </c>
      <c r="B124" t="s">
        <v>228</v>
      </c>
      <c r="C124" t="s">
        <v>233</v>
      </c>
      <c r="D124" t="s">
        <v>246</v>
      </c>
      <c r="E124" s="3">
        <v>45136</v>
      </c>
      <c r="F124" t="s">
        <v>251</v>
      </c>
      <c r="G124">
        <v>7000</v>
      </c>
      <c r="H124" t="s">
        <v>252</v>
      </c>
      <c r="I124" t="s">
        <v>258</v>
      </c>
    </row>
    <row r="125" spans="1:9" x14ac:dyDescent="0.3">
      <c r="A125" t="s">
        <v>126</v>
      </c>
      <c r="B125" t="s">
        <v>231</v>
      </c>
      <c r="C125" t="s">
        <v>237</v>
      </c>
      <c r="D125" t="s">
        <v>243</v>
      </c>
      <c r="E125" s="3">
        <v>45259</v>
      </c>
      <c r="F125" t="s">
        <v>249</v>
      </c>
      <c r="G125">
        <v>10000</v>
      </c>
      <c r="H125" t="s">
        <v>255</v>
      </c>
      <c r="I125" t="s">
        <v>262</v>
      </c>
    </row>
    <row r="126" spans="1:9" x14ac:dyDescent="0.3">
      <c r="A126" t="s">
        <v>127</v>
      </c>
      <c r="B126" t="s">
        <v>229</v>
      </c>
      <c r="C126" t="s">
        <v>239</v>
      </c>
      <c r="D126" t="s">
        <v>242</v>
      </c>
      <c r="E126" s="3">
        <v>45243</v>
      </c>
      <c r="F126" t="s">
        <v>249</v>
      </c>
      <c r="G126">
        <v>7000</v>
      </c>
      <c r="H126" t="s">
        <v>254</v>
      </c>
      <c r="I126" t="s">
        <v>261</v>
      </c>
    </row>
    <row r="127" spans="1:9" x14ac:dyDescent="0.3">
      <c r="A127" t="s">
        <v>128</v>
      </c>
      <c r="B127" t="s">
        <v>223</v>
      </c>
      <c r="C127" t="s">
        <v>234</v>
      </c>
      <c r="D127" t="s">
        <v>245</v>
      </c>
      <c r="E127" s="3">
        <v>45251</v>
      </c>
      <c r="F127" t="s">
        <v>251</v>
      </c>
      <c r="G127">
        <v>5000</v>
      </c>
      <c r="H127" t="s">
        <v>256</v>
      </c>
      <c r="I127" t="s">
        <v>258</v>
      </c>
    </row>
    <row r="128" spans="1:9" x14ac:dyDescent="0.3">
      <c r="A128" t="s">
        <v>129</v>
      </c>
      <c r="B128" t="s">
        <v>231</v>
      </c>
      <c r="C128" t="s">
        <v>233</v>
      </c>
      <c r="D128" t="s">
        <v>242</v>
      </c>
      <c r="E128" s="3">
        <v>45093</v>
      </c>
      <c r="F128" t="s">
        <v>249</v>
      </c>
      <c r="G128">
        <v>10000</v>
      </c>
      <c r="H128" t="s">
        <v>254</v>
      </c>
      <c r="I128" t="s">
        <v>260</v>
      </c>
    </row>
    <row r="129" spans="1:9" x14ac:dyDescent="0.3">
      <c r="A129" t="s">
        <v>130</v>
      </c>
      <c r="B129" t="s">
        <v>226</v>
      </c>
      <c r="C129" t="s">
        <v>235</v>
      </c>
      <c r="D129" t="s">
        <v>243</v>
      </c>
      <c r="E129" s="3">
        <v>45216</v>
      </c>
      <c r="F129" t="s">
        <v>251</v>
      </c>
      <c r="G129">
        <v>7000</v>
      </c>
      <c r="H129" t="s">
        <v>253</v>
      </c>
      <c r="I129" t="s">
        <v>258</v>
      </c>
    </row>
    <row r="130" spans="1:9" x14ac:dyDescent="0.3">
      <c r="A130" t="s">
        <v>131</v>
      </c>
      <c r="B130" t="s">
        <v>223</v>
      </c>
      <c r="C130" t="s">
        <v>234</v>
      </c>
      <c r="D130" t="s">
        <v>247</v>
      </c>
      <c r="E130" s="3">
        <v>45181</v>
      </c>
      <c r="F130" t="s">
        <v>251</v>
      </c>
      <c r="G130">
        <v>7000</v>
      </c>
      <c r="H130" t="s">
        <v>253</v>
      </c>
      <c r="I130" t="s">
        <v>258</v>
      </c>
    </row>
    <row r="131" spans="1:9" x14ac:dyDescent="0.3">
      <c r="A131" t="s">
        <v>132</v>
      </c>
      <c r="B131" t="s">
        <v>231</v>
      </c>
      <c r="C131" t="s">
        <v>239</v>
      </c>
      <c r="D131" t="s">
        <v>241</v>
      </c>
      <c r="E131" s="3">
        <v>45268</v>
      </c>
      <c r="F131" t="s">
        <v>249</v>
      </c>
      <c r="G131">
        <v>12000</v>
      </c>
      <c r="H131" t="s">
        <v>254</v>
      </c>
      <c r="I131" t="s">
        <v>257</v>
      </c>
    </row>
    <row r="132" spans="1:9" x14ac:dyDescent="0.3">
      <c r="A132" t="s">
        <v>42</v>
      </c>
      <c r="B132" t="s">
        <v>223</v>
      </c>
      <c r="C132" t="s">
        <v>239</v>
      </c>
      <c r="D132" t="s">
        <v>244</v>
      </c>
      <c r="E132" s="3">
        <v>45227</v>
      </c>
      <c r="F132" t="s">
        <v>250</v>
      </c>
      <c r="G132">
        <v>12000</v>
      </c>
      <c r="H132" t="s">
        <v>254</v>
      </c>
      <c r="I132" t="s">
        <v>258</v>
      </c>
    </row>
    <row r="133" spans="1:9" x14ac:dyDescent="0.3">
      <c r="A133" t="s">
        <v>133</v>
      </c>
      <c r="B133" t="s">
        <v>231</v>
      </c>
      <c r="C133" t="s">
        <v>235</v>
      </c>
      <c r="D133" t="s">
        <v>243</v>
      </c>
      <c r="E133" s="3">
        <v>45174</v>
      </c>
      <c r="F133" t="s">
        <v>249</v>
      </c>
      <c r="G133">
        <v>7000</v>
      </c>
      <c r="H133" t="s">
        <v>256</v>
      </c>
      <c r="I133" t="s">
        <v>257</v>
      </c>
    </row>
    <row r="134" spans="1:9" x14ac:dyDescent="0.3">
      <c r="A134" t="s">
        <v>134</v>
      </c>
      <c r="B134" t="s">
        <v>224</v>
      </c>
      <c r="C134" t="s">
        <v>240</v>
      </c>
      <c r="D134" t="s">
        <v>241</v>
      </c>
      <c r="E134" s="3">
        <v>44938</v>
      </c>
      <c r="F134" t="s">
        <v>251</v>
      </c>
      <c r="G134">
        <v>12000</v>
      </c>
      <c r="H134" t="s">
        <v>254</v>
      </c>
      <c r="I134" t="s">
        <v>258</v>
      </c>
    </row>
    <row r="135" spans="1:9" x14ac:dyDescent="0.3">
      <c r="A135" t="s">
        <v>135</v>
      </c>
      <c r="B135" t="s">
        <v>224</v>
      </c>
      <c r="C135" t="s">
        <v>233</v>
      </c>
      <c r="D135" t="s">
        <v>248</v>
      </c>
      <c r="E135" s="3">
        <v>45073</v>
      </c>
      <c r="F135" t="s">
        <v>249</v>
      </c>
      <c r="G135">
        <v>10000</v>
      </c>
      <c r="H135" t="s">
        <v>253</v>
      </c>
      <c r="I135" t="s">
        <v>261</v>
      </c>
    </row>
    <row r="136" spans="1:9" x14ac:dyDescent="0.3">
      <c r="A136" t="s">
        <v>136</v>
      </c>
      <c r="B136" t="s">
        <v>231</v>
      </c>
      <c r="C136" t="s">
        <v>238</v>
      </c>
      <c r="D136" t="s">
        <v>245</v>
      </c>
      <c r="E136" s="3">
        <v>45248</v>
      </c>
      <c r="F136" t="s">
        <v>251</v>
      </c>
      <c r="G136">
        <v>5000</v>
      </c>
      <c r="H136" t="s">
        <v>254</v>
      </c>
      <c r="I136" t="s">
        <v>258</v>
      </c>
    </row>
    <row r="137" spans="1:9" x14ac:dyDescent="0.3">
      <c r="A137" t="s">
        <v>137</v>
      </c>
      <c r="B137" t="s">
        <v>228</v>
      </c>
      <c r="C137" t="s">
        <v>233</v>
      </c>
      <c r="D137" t="s">
        <v>244</v>
      </c>
      <c r="E137" s="3">
        <v>44994</v>
      </c>
      <c r="F137" t="s">
        <v>249</v>
      </c>
      <c r="G137">
        <v>10000</v>
      </c>
      <c r="H137" t="s">
        <v>254</v>
      </c>
      <c r="I137" t="s">
        <v>262</v>
      </c>
    </row>
    <row r="138" spans="1:9" x14ac:dyDescent="0.3">
      <c r="A138" t="s">
        <v>131</v>
      </c>
      <c r="B138" t="s">
        <v>230</v>
      </c>
      <c r="C138" t="s">
        <v>238</v>
      </c>
      <c r="D138" t="s">
        <v>244</v>
      </c>
      <c r="E138" s="3">
        <v>45198</v>
      </c>
      <c r="F138" t="s">
        <v>251</v>
      </c>
      <c r="G138">
        <v>10000</v>
      </c>
      <c r="H138" t="s">
        <v>253</v>
      </c>
      <c r="I138" t="s">
        <v>258</v>
      </c>
    </row>
    <row r="139" spans="1:9" x14ac:dyDescent="0.3">
      <c r="A139" t="s">
        <v>138</v>
      </c>
      <c r="B139" t="s">
        <v>228</v>
      </c>
      <c r="C139" t="s">
        <v>240</v>
      </c>
      <c r="D139" t="s">
        <v>244</v>
      </c>
      <c r="E139" s="3">
        <v>44985</v>
      </c>
      <c r="F139" t="s">
        <v>250</v>
      </c>
      <c r="G139">
        <v>5000</v>
      </c>
      <c r="H139" t="s">
        <v>253</v>
      </c>
      <c r="I139" t="s">
        <v>258</v>
      </c>
    </row>
    <row r="140" spans="1:9" x14ac:dyDescent="0.3">
      <c r="A140" t="s">
        <v>85</v>
      </c>
      <c r="B140" t="s">
        <v>230</v>
      </c>
      <c r="C140" t="s">
        <v>234</v>
      </c>
      <c r="D140" t="s">
        <v>244</v>
      </c>
      <c r="E140" s="3">
        <v>44973</v>
      </c>
      <c r="F140" t="s">
        <v>250</v>
      </c>
      <c r="G140">
        <v>5000</v>
      </c>
      <c r="H140" t="s">
        <v>254</v>
      </c>
      <c r="I140" t="s">
        <v>258</v>
      </c>
    </row>
    <row r="141" spans="1:9" x14ac:dyDescent="0.3">
      <c r="A141" t="s">
        <v>139</v>
      </c>
      <c r="B141" t="s">
        <v>223</v>
      </c>
      <c r="C141" t="s">
        <v>239</v>
      </c>
      <c r="D141" t="s">
        <v>244</v>
      </c>
      <c r="E141" s="3">
        <v>45271</v>
      </c>
      <c r="F141" t="s">
        <v>251</v>
      </c>
      <c r="G141">
        <v>10000</v>
      </c>
      <c r="H141" t="s">
        <v>255</v>
      </c>
      <c r="I141" t="s">
        <v>258</v>
      </c>
    </row>
    <row r="142" spans="1:9" x14ac:dyDescent="0.3">
      <c r="A142" t="s">
        <v>24</v>
      </c>
      <c r="B142" t="s">
        <v>229</v>
      </c>
      <c r="C142" t="s">
        <v>236</v>
      </c>
      <c r="D142" t="s">
        <v>247</v>
      </c>
      <c r="E142" s="3">
        <v>45168</v>
      </c>
      <c r="F142" t="s">
        <v>249</v>
      </c>
      <c r="G142">
        <v>10000</v>
      </c>
      <c r="H142" t="s">
        <v>255</v>
      </c>
      <c r="I142" t="s">
        <v>261</v>
      </c>
    </row>
    <row r="143" spans="1:9" x14ac:dyDescent="0.3">
      <c r="A143" t="s">
        <v>140</v>
      </c>
      <c r="B143" t="s">
        <v>223</v>
      </c>
      <c r="C143" t="s">
        <v>239</v>
      </c>
      <c r="D143" t="s">
        <v>241</v>
      </c>
      <c r="E143" s="3">
        <v>45259</v>
      </c>
      <c r="F143" t="s">
        <v>250</v>
      </c>
      <c r="G143">
        <v>5000</v>
      </c>
      <c r="H143" t="s">
        <v>253</v>
      </c>
      <c r="I143" t="s">
        <v>258</v>
      </c>
    </row>
    <row r="144" spans="1:9" x14ac:dyDescent="0.3">
      <c r="A144" t="s">
        <v>141</v>
      </c>
      <c r="B144" t="s">
        <v>225</v>
      </c>
      <c r="C144" t="s">
        <v>240</v>
      </c>
      <c r="D144" t="s">
        <v>248</v>
      </c>
      <c r="E144" s="3">
        <v>44986</v>
      </c>
      <c r="F144" t="s">
        <v>249</v>
      </c>
      <c r="G144">
        <v>7000</v>
      </c>
      <c r="H144" t="s">
        <v>255</v>
      </c>
      <c r="I144" t="s">
        <v>261</v>
      </c>
    </row>
    <row r="145" spans="1:9" x14ac:dyDescent="0.3">
      <c r="A145" t="s">
        <v>142</v>
      </c>
      <c r="B145" t="s">
        <v>228</v>
      </c>
      <c r="C145" t="s">
        <v>237</v>
      </c>
      <c r="D145" t="s">
        <v>243</v>
      </c>
      <c r="E145" s="3">
        <v>45227</v>
      </c>
      <c r="F145" t="s">
        <v>251</v>
      </c>
      <c r="G145">
        <v>7000</v>
      </c>
      <c r="H145" t="s">
        <v>256</v>
      </c>
      <c r="I145" t="s">
        <v>258</v>
      </c>
    </row>
    <row r="146" spans="1:9" x14ac:dyDescent="0.3">
      <c r="A146" t="s">
        <v>143</v>
      </c>
      <c r="B146" t="s">
        <v>223</v>
      </c>
      <c r="C146" t="s">
        <v>239</v>
      </c>
      <c r="D146" t="s">
        <v>243</v>
      </c>
      <c r="E146" s="3">
        <v>45070</v>
      </c>
      <c r="F146" t="s">
        <v>249</v>
      </c>
      <c r="G146">
        <v>10000</v>
      </c>
      <c r="H146" t="s">
        <v>253</v>
      </c>
      <c r="I146" t="s">
        <v>262</v>
      </c>
    </row>
    <row r="147" spans="1:9" x14ac:dyDescent="0.3">
      <c r="A147" t="s">
        <v>144</v>
      </c>
      <c r="B147" t="s">
        <v>230</v>
      </c>
      <c r="C147" t="s">
        <v>237</v>
      </c>
      <c r="D147" t="s">
        <v>245</v>
      </c>
      <c r="E147" s="3">
        <v>45278</v>
      </c>
      <c r="F147" t="s">
        <v>250</v>
      </c>
      <c r="G147">
        <v>10000</v>
      </c>
      <c r="H147" t="s">
        <v>252</v>
      </c>
      <c r="I147" t="s">
        <v>258</v>
      </c>
    </row>
    <row r="148" spans="1:9" x14ac:dyDescent="0.3">
      <c r="A148" t="s">
        <v>145</v>
      </c>
      <c r="B148" t="s">
        <v>231</v>
      </c>
      <c r="C148" t="s">
        <v>235</v>
      </c>
      <c r="D148" t="s">
        <v>245</v>
      </c>
      <c r="E148" s="3">
        <v>45159</v>
      </c>
      <c r="F148" t="s">
        <v>249</v>
      </c>
      <c r="G148">
        <v>7000</v>
      </c>
      <c r="H148" t="s">
        <v>255</v>
      </c>
      <c r="I148" t="s">
        <v>259</v>
      </c>
    </row>
    <row r="149" spans="1:9" x14ac:dyDescent="0.3">
      <c r="A149" t="s">
        <v>146</v>
      </c>
      <c r="B149" t="s">
        <v>229</v>
      </c>
      <c r="C149" t="s">
        <v>235</v>
      </c>
      <c r="D149" t="s">
        <v>246</v>
      </c>
      <c r="E149" s="3">
        <v>45216</v>
      </c>
      <c r="F149" t="s">
        <v>249</v>
      </c>
      <c r="G149">
        <v>5000</v>
      </c>
      <c r="H149" t="s">
        <v>255</v>
      </c>
      <c r="I149" t="s">
        <v>261</v>
      </c>
    </row>
    <row r="150" spans="1:9" x14ac:dyDescent="0.3">
      <c r="A150" t="s">
        <v>147</v>
      </c>
      <c r="B150" t="s">
        <v>230</v>
      </c>
      <c r="C150" t="s">
        <v>235</v>
      </c>
      <c r="D150" t="s">
        <v>244</v>
      </c>
      <c r="E150" s="3">
        <v>45002</v>
      </c>
      <c r="F150" t="s">
        <v>251</v>
      </c>
      <c r="G150">
        <v>5000</v>
      </c>
      <c r="H150" t="s">
        <v>254</v>
      </c>
      <c r="I150" t="s">
        <v>258</v>
      </c>
    </row>
    <row r="151" spans="1:9" x14ac:dyDescent="0.3">
      <c r="A151" t="s">
        <v>57</v>
      </c>
      <c r="B151" t="s">
        <v>226</v>
      </c>
      <c r="C151" t="s">
        <v>238</v>
      </c>
      <c r="D151" t="s">
        <v>241</v>
      </c>
      <c r="E151" s="3">
        <v>45016</v>
      </c>
      <c r="F151" t="s">
        <v>249</v>
      </c>
      <c r="G151">
        <v>5000</v>
      </c>
      <c r="H151" t="s">
        <v>253</v>
      </c>
      <c r="I151" t="s">
        <v>259</v>
      </c>
    </row>
    <row r="152" spans="1:9" x14ac:dyDescent="0.3">
      <c r="A152" t="s">
        <v>148</v>
      </c>
      <c r="B152" t="s">
        <v>230</v>
      </c>
      <c r="C152" t="s">
        <v>237</v>
      </c>
      <c r="D152" t="s">
        <v>242</v>
      </c>
      <c r="E152" s="3">
        <v>45016</v>
      </c>
      <c r="F152" t="s">
        <v>250</v>
      </c>
      <c r="G152">
        <v>5000</v>
      </c>
      <c r="H152" t="s">
        <v>253</v>
      </c>
      <c r="I152" t="s">
        <v>258</v>
      </c>
    </row>
    <row r="153" spans="1:9" x14ac:dyDescent="0.3">
      <c r="A153" t="s">
        <v>149</v>
      </c>
      <c r="B153" t="s">
        <v>227</v>
      </c>
      <c r="C153" t="s">
        <v>236</v>
      </c>
      <c r="D153" t="s">
        <v>245</v>
      </c>
      <c r="E153" s="3">
        <v>45170</v>
      </c>
      <c r="F153" t="s">
        <v>250</v>
      </c>
      <c r="G153">
        <v>10000</v>
      </c>
      <c r="H153" t="s">
        <v>255</v>
      </c>
      <c r="I153" t="s">
        <v>258</v>
      </c>
    </row>
    <row r="154" spans="1:9" x14ac:dyDescent="0.3">
      <c r="A154" t="s">
        <v>150</v>
      </c>
      <c r="B154" t="s">
        <v>223</v>
      </c>
      <c r="C154" t="s">
        <v>239</v>
      </c>
      <c r="D154" t="s">
        <v>247</v>
      </c>
      <c r="E154" s="3">
        <v>45241</v>
      </c>
      <c r="F154" t="s">
        <v>249</v>
      </c>
      <c r="G154">
        <v>10000</v>
      </c>
      <c r="H154" t="s">
        <v>256</v>
      </c>
      <c r="I154" t="s">
        <v>259</v>
      </c>
    </row>
    <row r="155" spans="1:9" x14ac:dyDescent="0.3">
      <c r="A155" t="s">
        <v>36</v>
      </c>
      <c r="B155" t="s">
        <v>228</v>
      </c>
      <c r="C155" t="s">
        <v>234</v>
      </c>
      <c r="D155" t="s">
        <v>243</v>
      </c>
      <c r="E155" s="3">
        <v>45278</v>
      </c>
      <c r="F155" t="s">
        <v>249</v>
      </c>
      <c r="G155">
        <v>12000</v>
      </c>
      <c r="H155" t="s">
        <v>256</v>
      </c>
      <c r="I155" t="s">
        <v>259</v>
      </c>
    </row>
    <row r="156" spans="1:9" x14ac:dyDescent="0.3">
      <c r="A156" t="s">
        <v>54</v>
      </c>
      <c r="B156" t="s">
        <v>223</v>
      </c>
      <c r="C156" t="s">
        <v>237</v>
      </c>
      <c r="D156" t="s">
        <v>246</v>
      </c>
      <c r="E156" s="3">
        <v>44960</v>
      </c>
      <c r="F156" t="s">
        <v>249</v>
      </c>
      <c r="G156">
        <v>10000</v>
      </c>
      <c r="H156" t="s">
        <v>255</v>
      </c>
      <c r="I156" t="s">
        <v>257</v>
      </c>
    </row>
    <row r="157" spans="1:9" x14ac:dyDescent="0.3">
      <c r="A157" t="s">
        <v>151</v>
      </c>
      <c r="B157" t="s">
        <v>229</v>
      </c>
      <c r="C157" t="s">
        <v>234</v>
      </c>
      <c r="D157" t="s">
        <v>241</v>
      </c>
      <c r="E157" s="3">
        <v>45159</v>
      </c>
      <c r="F157" t="s">
        <v>251</v>
      </c>
      <c r="G157">
        <v>12000</v>
      </c>
      <c r="H157" t="s">
        <v>252</v>
      </c>
      <c r="I157" t="s">
        <v>258</v>
      </c>
    </row>
    <row r="158" spans="1:9" x14ac:dyDescent="0.3">
      <c r="A158" t="s">
        <v>152</v>
      </c>
      <c r="B158" t="s">
        <v>223</v>
      </c>
      <c r="C158" t="s">
        <v>235</v>
      </c>
      <c r="D158" t="s">
        <v>243</v>
      </c>
      <c r="E158" s="3">
        <v>45158</v>
      </c>
      <c r="F158" t="s">
        <v>249</v>
      </c>
      <c r="G158">
        <v>12000</v>
      </c>
      <c r="H158" t="s">
        <v>254</v>
      </c>
      <c r="I158" t="s">
        <v>262</v>
      </c>
    </row>
    <row r="159" spans="1:9" x14ac:dyDescent="0.3">
      <c r="A159" t="s">
        <v>31</v>
      </c>
      <c r="B159" t="s">
        <v>227</v>
      </c>
      <c r="C159" t="s">
        <v>236</v>
      </c>
      <c r="D159" t="s">
        <v>244</v>
      </c>
      <c r="E159" s="3">
        <v>45145</v>
      </c>
      <c r="F159" t="s">
        <v>250</v>
      </c>
      <c r="G159">
        <v>10000</v>
      </c>
      <c r="H159" t="s">
        <v>254</v>
      </c>
      <c r="I159" t="s">
        <v>258</v>
      </c>
    </row>
    <row r="160" spans="1:9" x14ac:dyDescent="0.3">
      <c r="A160" t="s">
        <v>153</v>
      </c>
      <c r="B160" t="s">
        <v>226</v>
      </c>
      <c r="C160" t="s">
        <v>239</v>
      </c>
      <c r="D160" t="s">
        <v>245</v>
      </c>
      <c r="E160" s="3">
        <v>44973</v>
      </c>
      <c r="F160" t="s">
        <v>249</v>
      </c>
      <c r="G160">
        <v>5000</v>
      </c>
      <c r="H160" t="s">
        <v>256</v>
      </c>
      <c r="I160" t="s">
        <v>259</v>
      </c>
    </row>
    <row r="161" spans="1:9" x14ac:dyDescent="0.3">
      <c r="A161" t="s">
        <v>154</v>
      </c>
      <c r="B161" t="s">
        <v>229</v>
      </c>
      <c r="C161" t="s">
        <v>238</v>
      </c>
      <c r="D161" t="s">
        <v>242</v>
      </c>
      <c r="E161" s="3">
        <v>45227</v>
      </c>
      <c r="F161" t="s">
        <v>251</v>
      </c>
      <c r="G161">
        <v>10000</v>
      </c>
      <c r="H161" t="s">
        <v>252</v>
      </c>
      <c r="I161" t="s">
        <v>258</v>
      </c>
    </row>
    <row r="162" spans="1:9" x14ac:dyDescent="0.3">
      <c r="A162" t="s">
        <v>155</v>
      </c>
      <c r="B162" t="s">
        <v>229</v>
      </c>
      <c r="C162" t="s">
        <v>234</v>
      </c>
      <c r="D162" t="s">
        <v>242</v>
      </c>
      <c r="E162" s="3">
        <v>45074</v>
      </c>
      <c r="F162" t="s">
        <v>251</v>
      </c>
      <c r="G162">
        <v>10000</v>
      </c>
      <c r="H162" t="s">
        <v>254</v>
      </c>
      <c r="I162" t="s">
        <v>258</v>
      </c>
    </row>
    <row r="163" spans="1:9" x14ac:dyDescent="0.3">
      <c r="A163" t="s">
        <v>156</v>
      </c>
      <c r="B163" t="s">
        <v>224</v>
      </c>
      <c r="C163" t="s">
        <v>235</v>
      </c>
      <c r="D163" t="s">
        <v>246</v>
      </c>
      <c r="E163" s="3">
        <v>45263</v>
      </c>
      <c r="F163" t="s">
        <v>250</v>
      </c>
      <c r="G163">
        <v>7000</v>
      </c>
      <c r="H163" t="s">
        <v>252</v>
      </c>
      <c r="I163" t="s">
        <v>258</v>
      </c>
    </row>
    <row r="164" spans="1:9" x14ac:dyDescent="0.3">
      <c r="A164" t="s">
        <v>157</v>
      </c>
      <c r="B164" t="s">
        <v>232</v>
      </c>
      <c r="C164" t="s">
        <v>237</v>
      </c>
      <c r="D164" t="s">
        <v>245</v>
      </c>
      <c r="E164" s="3">
        <v>45069</v>
      </c>
      <c r="F164" t="s">
        <v>251</v>
      </c>
      <c r="G164">
        <v>7000</v>
      </c>
      <c r="H164" t="s">
        <v>256</v>
      </c>
      <c r="I164" t="s">
        <v>258</v>
      </c>
    </row>
    <row r="165" spans="1:9" x14ac:dyDescent="0.3">
      <c r="A165" t="s">
        <v>158</v>
      </c>
      <c r="B165" t="s">
        <v>232</v>
      </c>
      <c r="C165" t="s">
        <v>233</v>
      </c>
      <c r="D165" t="s">
        <v>241</v>
      </c>
      <c r="E165" s="3">
        <v>44941</v>
      </c>
      <c r="F165" t="s">
        <v>249</v>
      </c>
      <c r="G165">
        <v>10000</v>
      </c>
      <c r="H165" t="s">
        <v>254</v>
      </c>
      <c r="I165" t="s">
        <v>260</v>
      </c>
    </row>
    <row r="166" spans="1:9" x14ac:dyDescent="0.3">
      <c r="A166" t="s">
        <v>59</v>
      </c>
      <c r="B166" t="s">
        <v>225</v>
      </c>
      <c r="C166" t="s">
        <v>238</v>
      </c>
      <c r="D166" t="s">
        <v>246</v>
      </c>
      <c r="E166" s="3">
        <v>45216</v>
      </c>
      <c r="F166" t="s">
        <v>251</v>
      </c>
      <c r="G166">
        <v>12000</v>
      </c>
      <c r="H166" t="s">
        <v>252</v>
      </c>
      <c r="I166" t="s">
        <v>258</v>
      </c>
    </row>
    <row r="167" spans="1:9" x14ac:dyDescent="0.3">
      <c r="A167" t="s">
        <v>159</v>
      </c>
      <c r="B167" t="s">
        <v>225</v>
      </c>
      <c r="C167" t="s">
        <v>236</v>
      </c>
      <c r="D167" t="s">
        <v>247</v>
      </c>
      <c r="E167" s="3">
        <v>45119</v>
      </c>
      <c r="F167" t="s">
        <v>250</v>
      </c>
      <c r="G167">
        <v>12000</v>
      </c>
      <c r="H167" t="s">
        <v>254</v>
      </c>
      <c r="I167" t="s">
        <v>258</v>
      </c>
    </row>
    <row r="168" spans="1:9" x14ac:dyDescent="0.3">
      <c r="A168" t="s">
        <v>42</v>
      </c>
      <c r="B168" t="s">
        <v>229</v>
      </c>
      <c r="C168" t="s">
        <v>240</v>
      </c>
      <c r="D168" t="s">
        <v>244</v>
      </c>
      <c r="E168" s="3">
        <v>45217</v>
      </c>
      <c r="F168" t="s">
        <v>251</v>
      </c>
      <c r="G168">
        <v>5000</v>
      </c>
      <c r="H168" t="s">
        <v>252</v>
      </c>
      <c r="I168" t="s">
        <v>258</v>
      </c>
    </row>
    <row r="169" spans="1:9" x14ac:dyDescent="0.3">
      <c r="A169" t="s">
        <v>160</v>
      </c>
      <c r="B169" t="s">
        <v>226</v>
      </c>
      <c r="C169" t="s">
        <v>233</v>
      </c>
      <c r="D169" t="s">
        <v>245</v>
      </c>
      <c r="E169" s="3">
        <v>45066</v>
      </c>
      <c r="F169" t="s">
        <v>250</v>
      </c>
      <c r="G169">
        <v>12000</v>
      </c>
      <c r="H169" t="s">
        <v>256</v>
      </c>
      <c r="I169" t="s">
        <v>258</v>
      </c>
    </row>
    <row r="170" spans="1:9" x14ac:dyDescent="0.3">
      <c r="A170" t="s">
        <v>161</v>
      </c>
      <c r="B170" t="s">
        <v>228</v>
      </c>
      <c r="C170" t="s">
        <v>234</v>
      </c>
      <c r="D170" t="s">
        <v>241</v>
      </c>
      <c r="E170" s="3">
        <v>45037</v>
      </c>
      <c r="F170" t="s">
        <v>251</v>
      </c>
      <c r="G170">
        <v>5000</v>
      </c>
      <c r="H170" t="s">
        <v>254</v>
      </c>
      <c r="I170" t="s">
        <v>258</v>
      </c>
    </row>
    <row r="171" spans="1:9" x14ac:dyDescent="0.3">
      <c r="A171" t="s">
        <v>66</v>
      </c>
      <c r="B171" t="s">
        <v>223</v>
      </c>
      <c r="C171" t="s">
        <v>240</v>
      </c>
      <c r="D171" t="s">
        <v>248</v>
      </c>
      <c r="E171" s="3">
        <v>45196</v>
      </c>
      <c r="F171" t="s">
        <v>251</v>
      </c>
      <c r="G171">
        <v>10000</v>
      </c>
      <c r="H171" t="s">
        <v>252</v>
      </c>
      <c r="I171" t="s">
        <v>258</v>
      </c>
    </row>
    <row r="172" spans="1:9" x14ac:dyDescent="0.3">
      <c r="A172" t="s">
        <v>162</v>
      </c>
      <c r="B172" t="s">
        <v>227</v>
      </c>
      <c r="C172" t="s">
        <v>233</v>
      </c>
      <c r="D172" t="s">
        <v>242</v>
      </c>
      <c r="E172" s="3">
        <v>45031</v>
      </c>
      <c r="F172" t="s">
        <v>250</v>
      </c>
      <c r="G172">
        <v>7000</v>
      </c>
      <c r="H172" t="s">
        <v>253</v>
      </c>
      <c r="I172" t="s">
        <v>258</v>
      </c>
    </row>
    <row r="173" spans="1:9" x14ac:dyDescent="0.3">
      <c r="A173" t="s">
        <v>163</v>
      </c>
      <c r="B173" t="s">
        <v>231</v>
      </c>
      <c r="C173" t="s">
        <v>240</v>
      </c>
      <c r="D173" t="s">
        <v>244</v>
      </c>
      <c r="E173" s="3">
        <v>44988</v>
      </c>
      <c r="F173" t="s">
        <v>249</v>
      </c>
      <c r="G173">
        <v>12000</v>
      </c>
      <c r="H173" t="s">
        <v>256</v>
      </c>
      <c r="I173" t="s">
        <v>261</v>
      </c>
    </row>
    <row r="174" spans="1:9" x14ac:dyDescent="0.3">
      <c r="A174" t="s">
        <v>164</v>
      </c>
      <c r="B174" t="s">
        <v>227</v>
      </c>
      <c r="C174" t="s">
        <v>235</v>
      </c>
      <c r="D174" t="s">
        <v>244</v>
      </c>
      <c r="E174" s="3">
        <v>44963</v>
      </c>
      <c r="F174" t="s">
        <v>250</v>
      </c>
      <c r="G174">
        <v>5000</v>
      </c>
      <c r="H174" t="s">
        <v>256</v>
      </c>
      <c r="I174" t="s">
        <v>258</v>
      </c>
    </row>
    <row r="175" spans="1:9" x14ac:dyDescent="0.3">
      <c r="A175" t="s">
        <v>165</v>
      </c>
      <c r="B175" t="s">
        <v>228</v>
      </c>
      <c r="C175" t="s">
        <v>236</v>
      </c>
      <c r="D175" t="s">
        <v>244</v>
      </c>
      <c r="E175" s="3">
        <v>45221</v>
      </c>
      <c r="F175" t="s">
        <v>250</v>
      </c>
      <c r="G175">
        <v>12000</v>
      </c>
      <c r="H175" t="s">
        <v>256</v>
      </c>
      <c r="I175" t="s">
        <v>258</v>
      </c>
    </row>
    <row r="176" spans="1:9" x14ac:dyDescent="0.3">
      <c r="A176" t="s">
        <v>166</v>
      </c>
      <c r="B176" t="s">
        <v>223</v>
      </c>
      <c r="C176" t="s">
        <v>234</v>
      </c>
      <c r="D176" t="s">
        <v>242</v>
      </c>
      <c r="E176" s="3">
        <v>45093</v>
      </c>
      <c r="F176" t="s">
        <v>249</v>
      </c>
      <c r="G176">
        <v>12000</v>
      </c>
      <c r="H176" t="s">
        <v>254</v>
      </c>
      <c r="I176" t="s">
        <v>259</v>
      </c>
    </row>
    <row r="177" spans="1:9" x14ac:dyDescent="0.3">
      <c r="A177" t="s">
        <v>167</v>
      </c>
      <c r="B177" t="s">
        <v>223</v>
      </c>
      <c r="C177" t="s">
        <v>235</v>
      </c>
      <c r="D177" t="s">
        <v>243</v>
      </c>
      <c r="E177" s="3">
        <v>45228</v>
      </c>
      <c r="F177" t="s">
        <v>250</v>
      </c>
      <c r="G177">
        <v>5000</v>
      </c>
      <c r="H177" t="s">
        <v>256</v>
      </c>
      <c r="I177" t="s">
        <v>258</v>
      </c>
    </row>
    <row r="178" spans="1:9" x14ac:dyDescent="0.3">
      <c r="A178" t="s">
        <v>168</v>
      </c>
      <c r="B178" t="s">
        <v>231</v>
      </c>
      <c r="C178" t="s">
        <v>237</v>
      </c>
      <c r="D178" t="s">
        <v>247</v>
      </c>
      <c r="E178" s="3">
        <v>45097</v>
      </c>
      <c r="F178" t="s">
        <v>249</v>
      </c>
      <c r="G178">
        <v>5000</v>
      </c>
      <c r="H178" t="s">
        <v>255</v>
      </c>
      <c r="I178" t="s">
        <v>259</v>
      </c>
    </row>
    <row r="179" spans="1:9" x14ac:dyDescent="0.3">
      <c r="A179" t="s">
        <v>169</v>
      </c>
      <c r="B179" t="s">
        <v>232</v>
      </c>
      <c r="C179" t="s">
        <v>235</v>
      </c>
      <c r="D179" t="s">
        <v>244</v>
      </c>
      <c r="E179" s="3">
        <v>45106</v>
      </c>
      <c r="F179" t="s">
        <v>251</v>
      </c>
      <c r="G179">
        <v>7000</v>
      </c>
      <c r="H179" t="s">
        <v>253</v>
      </c>
      <c r="I179" t="s">
        <v>258</v>
      </c>
    </row>
    <row r="180" spans="1:9" x14ac:dyDescent="0.3">
      <c r="A180" t="s">
        <v>170</v>
      </c>
      <c r="B180" t="s">
        <v>226</v>
      </c>
      <c r="C180" t="s">
        <v>240</v>
      </c>
      <c r="D180" t="s">
        <v>247</v>
      </c>
      <c r="E180" s="3">
        <v>45015</v>
      </c>
      <c r="F180" t="s">
        <v>251</v>
      </c>
      <c r="G180">
        <v>7000</v>
      </c>
      <c r="H180" t="s">
        <v>252</v>
      </c>
      <c r="I180" t="s">
        <v>258</v>
      </c>
    </row>
    <row r="181" spans="1:9" x14ac:dyDescent="0.3">
      <c r="A181" t="s">
        <v>171</v>
      </c>
      <c r="B181" t="s">
        <v>228</v>
      </c>
      <c r="C181" t="s">
        <v>239</v>
      </c>
      <c r="D181" t="s">
        <v>248</v>
      </c>
      <c r="E181" s="3">
        <v>45275</v>
      </c>
      <c r="F181" t="s">
        <v>251</v>
      </c>
      <c r="G181">
        <v>10000</v>
      </c>
      <c r="H181" t="s">
        <v>254</v>
      </c>
      <c r="I181" t="s">
        <v>258</v>
      </c>
    </row>
    <row r="182" spans="1:9" x14ac:dyDescent="0.3">
      <c r="A182" t="s">
        <v>76</v>
      </c>
      <c r="B182" t="s">
        <v>228</v>
      </c>
      <c r="C182" t="s">
        <v>236</v>
      </c>
      <c r="D182" t="s">
        <v>248</v>
      </c>
      <c r="E182" s="3">
        <v>45153</v>
      </c>
      <c r="F182" t="s">
        <v>251</v>
      </c>
      <c r="G182">
        <v>10000</v>
      </c>
      <c r="H182" t="s">
        <v>254</v>
      </c>
      <c r="I182" t="s">
        <v>258</v>
      </c>
    </row>
    <row r="183" spans="1:9" x14ac:dyDescent="0.3">
      <c r="A183" t="s">
        <v>172</v>
      </c>
      <c r="B183" t="s">
        <v>225</v>
      </c>
      <c r="C183" t="s">
        <v>237</v>
      </c>
      <c r="D183" t="s">
        <v>245</v>
      </c>
      <c r="E183" s="3">
        <v>45085</v>
      </c>
      <c r="F183" t="s">
        <v>250</v>
      </c>
      <c r="G183">
        <v>12000</v>
      </c>
      <c r="H183" t="s">
        <v>252</v>
      </c>
      <c r="I183" t="s">
        <v>258</v>
      </c>
    </row>
    <row r="184" spans="1:9" x14ac:dyDescent="0.3">
      <c r="A184" t="s">
        <v>173</v>
      </c>
      <c r="B184" t="s">
        <v>229</v>
      </c>
      <c r="C184" t="s">
        <v>240</v>
      </c>
      <c r="D184" t="s">
        <v>245</v>
      </c>
      <c r="E184" s="3">
        <v>45257</v>
      </c>
      <c r="F184" t="s">
        <v>249</v>
      </c>
      <c r="G184">
        <v>12000</v>
      </c>
      <c r="H184" t="s">
        <v>256</v>
      </c>
      <c r="I184" t="s">
        <v>257</v>
      </c>
    </row>
    <row r="185" spans="1:9" x14ac:dyDescent="0.3">
      <c r="A185" t="s">
        <v>174</v>
      </c>
      <c r="B185" t="s">
        <v>225</v>
      </c>
      <c r="C185" t="s">
        <v>239</v>
      </c>
      <c r="D185" t="s">
        <v>247</v>
      </c>
      <c r="E185" s="3">
        <v>45091</v>
      </c>
      <c r="F185" t="s">
        <v>251</v>
      </c>
      <c r="G185">
        <v>12000</v>
      </c>
      <c r="H185" t="s">
        <v>255</v>
      </c>
      <c r="I185" t="s">
        <v>258</v>
      </c>
    </row>
    <row r="186" spans="1:9" x14ac:dyDescent="0.3">
      <c r="A186" t="s">
        <v>76</v>
      </c>
      <c r="B186" t="s">
        <v>225</v>
      </c>
      <c r="C186" t="s">
        <v>239</v>
      </c>
      <c r="D186" t="s">
        <v>245</v>
      </c>
      <c r="E186" s="3">
        <v>45102</v>
      </c>
      <c r="F186" t="s">
        <v>251</v>
      </c>
      <c r="G186">
        <v>5000</v>
      </c>
      <c r="H186" t="s">
        <v>255</v>
      </c>
      <c r="I186" t="s">
        <v>258</v>
      </c>
    </row>
    <row r="187" spans="1:9" x14ac:dyDescent="0.3">
      <c r="A187" t="s">
        <v>175</v>
      </c>
      <c r="B187" t="s">
        <v>226</v>
      </c>
      <c r="C187" t="s">
        <v>233</v>
      </c>
      <c r="D187" t="s">
        <v>247</v>
      </c>
      <c r="E187" s="3">
        <v>45289</v>
      </c>
      <c r="F187" t="s">
        <v>250</v>
      </c>
      <c r="G187">
        <v>12000</v>
      </c>
      <c r="H187" t="s">
        <v>255</v>
      </c>
      <c r="I187" t="s">
        <v>258</v>
      </c>
    </row>
    <row r="188" spans="1:9" x14ac:dyDescent="0.3">
      <c r="A188" t="s">
        <v>44</v>
      </c>
      <c r="B188" t="s">
        <v>224</v>
      </c>
      <c r="C188" t="s">
        <v>238</v>
      </c>
      <c r="D188" t="s">
        <v>244</v>
      </c>
      <c r="E188" s="3">
        <v>45117</v>
      </c>
      <c r="F188" t="s">
        <v>250</v>
      </c>
      <c r="G188">
        <v>12000</v>
      </c>
      <c r="H188" t="s">
        <v>256</v>
      </c>
      <c r="I188" t="s">
        <v>258</v>
      </c>
    </row>
    <row r="189" spans="1:9" x14ac:dyDescent="0.3">
      <c r="A189" t="s">
        <v>91</v>
      </c>
      <c r="B189" t="s">
        <v>229</v>
      </c>
      <c r="C189" t="s">
        <v>233</v>
      </c>
      <c r="D189" t="s">
        <v>244</v>
      </c>
      <c r="E189" s="3">
        <v>44960</v>
      </c>
      <c r="F189" t="s">
        <v>250</v>
      </c>
      <c r="G189">
        <v>5000</v>
      </c>
      <c r="H189" t="s">
        <v>255</v>
      </c>
      <c r="I189" t="s">
        <v>258</v>
      </c>
    </row>
    <row r="190" spans="1:9" x14ac:dyDescent="0.3">
      <c r="A190" t="s">
        <v>176</v>
      </c>
      <c r="B190" t="s">
        <v>227</v>
      </c>
      <c r="C190" t="s">
        <v>240</v>
      </c>
      <c r="D190" t="s">
        <v>241</v>
      </c>
      <c r="E190" s="3">
        <v>45263</v>
      </c>
      <c r="F190" t="s">
        <v>251</v>
      </c>
      <c r="G190">
        <v>7000</v>
      </c>
      <c r="H190" t="s">
        <v>254</v>
      </c>
      <c r="I190" t="s">
        <v>258</v>
      </c>
    </row>
    <row r="191" spans="1:9" x14ac:dyDescent="0.3">
      <c r="A191" t="s">
        <v>177</v>
      </c>
      <c r="B191" t="s">
        <v>224</v>
      </c>
      <c r="C191" t="s">
        <v>238</v>
      </c>
      <c r="D191" t="s">
        <v>244</v>
      </c>
      <c r="E191" s="3">
        <v>45085</v>
      </c>
      <c r="F191" t="s">
        <v>251</v>
      </c>
      <c r="G191">
        <v>12000</v>
      </c>
      <c r="H191" t="s">
        <v>253</v>
      </c>
      <c r="I191" t="s">
        <v>258</v>
      </c>
    </row>
    <row r="192" spans="1:9" x14ac:dyDescent="0.3">
      <c r="A192" t="s">
        <v>178</v>
      </c>
      <c r="B192" t="s">
        <v>223</v>
      </c>
      <c r="C192" t="s">
        <v>240</v>
      </c>
      <c r="D192" t="s">
        <v>243</v>
      </c>
      <c r="E192" s="3">
        <v>45256</v>
      </c>
      <c r="F192" t="s">
        <v>250</v>
      </c>
      <c r="G192">
        <v>7000</v>
      </c>
      <c r="H192" t="s">
        <v>255</v>
      </c>
      <c r="I192" t="s">
        <v>258</v>
      </c>
    </row>
    <row r="193" spans="1:9" x14ac:dyDescent="0.3">
      <c r="A193" t="s">
        <v>179</v>
      </c>
      <c r="B193" t="s">
        <v>227</v>
      </c>
      <c r="C193" t="s">
        <v>237</v>
      </c>
      <c r="D193" t="s">
        <v>242</v>
      </c>
      <c r="E193" s="3">
        <v>45112</v>
      </c>
      <c r="F193" t="s">
        <v>250</v>
      </c>
      <c r="G193">
        <v>7000</v>
      </c>
      <c r="H193" t="s">
        <v>253</v>
      </c>
      <c r="I193" t="s">
        <v>258</v>
      </c>
    </row>
    <row r="194" spans="1:9" x14ac:dyDescent="0.3">
      <c r="A194" t="s">
        <v>180</v>
      </c>
      <c r="B194" t="s">
        <v>228</v>
      </c>
      <c r="C194" t="s">
        <v>235</v>
      </c>
      <c r="D194" t="s">
        <v>247</v>
      </c>
      <c r="E194" s="3">
        <v>44997</v>
      </c>
      <c r="F194" t="s">
        <v>249</v>
      </c>
      <c r="G194">
        <v>5000</v>
      </c>
      <c r="H194" t="s">
        <v>254</v>
      </c>
      <c r="I194" t="s">
        <v>259</v>
      </c>
    </row>
    <row r="195" spans="1:9" x14ac:dyDescent="0.3">
      <c r="A195" t="s">
        <v>181</v>
      </c>
      <c r="B195" t="s">
        <v>232</v>
      </c>
      <c r="C195" t="s">
        <v>233</v>
      </c>
      <c r="D195" t="s">
        <v>244</v>
      </c>
      <c r="E195" s="3">
        <v>45243</v>
      </c>
      <c r="F195" t="s">
        <v>249</v>
      </c>
      <c r="G195">
        <v>12000</v>
      </c>
      <c r="H195" t="s">
        <v>253</v>
      </c>
      <c r="I195" t="s">
        <v>261</v>
      </c>
    </row>
    <row r="196" spans="1:9" x14ac:dyDescent="0.3">
      <c r="A196" t="s">
        <v>182</v>
      </c>
      <c r="B196" t="s">
        <v>224</v>
      </c>
      <c r="C196" t="s">
        <v>238</v>
      </c>
      <c r="D196" t="s">
        <v>248</v>
      </c>
      <c r="E196" s="3">
        <v>44949</v>
      </c>
      <c r="F196" t="s">
        <v>250</v>
      </c>
      <c r="G196">
        <v>10000</v>
      </c>
      <c r="H196" t="s">
        <v>253</v>
      </c>
      <c r="I196" t="s">
        <v>258</v>
      </c>
    </row>
    <row r="197" spans="1:9" x14ac:dyDescent="0.3">
      <c r="A197" t="s">
        <v>183</v>
      </c>
      <c r="B197" t="s">
        <v>228</v>
      </c>
      <c r="C197" t="s">
        <v>240</v>
      </c>
      <c r="D197" t="s">
        <v>248</v>
      </c>
      <c r="E197" s="3">
        <v>45046</v>
      </c>
      <c r="F197" t="s">
        <v>251</v>
      </c>
      <c r="G197">
        <v>7000</v>
      </c>
      <c r="H197" t="s">
        <v>254</v>
      </c>
      <c r="I197" t="s">
        <v>258</v>
      </c>
    </row>
    <row r="198" spans="1:9" x14ac:dyDescent="0.3">
      <c r="A198" t="s">
        <v>184</v>
      </c>
      <c r="B198" t="s">
        <v>228</v>
      </c>
      <c r="C198" t="s">
        <v>235</v>
      </c>
      <c r="D198" t="s">
        <v>244</v>
      </c>
      <c r="E198" s="3">
        <v>45274</v>
      </c>
      <c r="F198" t="s">
        <v>251</v>
      </c>
      <c r="G198">
        <v>12000</v>
      </c>
      <c r="H198" t="s">
        <v>256</v>
      </c>
      <c r="I198" t="s">
        <v>258</v>
      </c>
    </row>
    <row r="199" spans="1:9" x14ac:dyDescent="0.3">
      <c r="A199" t="s">
        <v>25</v>
      </c>
      <c r="B199" t="s">
        <v>231</v>
      </c>
      <c r="C199" t="s">
        <v>234</v>
      </c>
      <c r="D199" t="s">
        <v>243</v>
      </c>
      <c r="E199" s="3">
        <v>45009</v>
      </c>
      <c r="F199" t="s">
        <v>249</v>
      </c>
      <c r="G199">
        <v>7000</v>
      </c>
      <c r="H199" t="s">
        <v>254</v>
      </c>
      <c r="I199" t="s">
        <v>259</v>
      </c>
    </row>
    <row r="200" spans="1:9" x14ac:dyDescent="0.3">
      <c r="A200" t="s">
        <v>185</v>
      </c>
      <c r="B200" t="s">
        <v>228</v>
      </c>
      <c r="C200" t="s">
        <v>237</v>
      </c>
      <c r="D200" t="s">
        <v>245</v>
      </c>
      <c r="E200" s="3">
        <v>45291</v>
      </c>
      <c r="F200" t="s">
        <v>251</v>
      </c>
      <c r="G200">
        <v>5000</v>
      </c>
      <c r="H200" t="s">
        <v>254</v>
      </c>
      <c r="I200" t="s">
        <v>258</v>
      </c>
    </row>
    <row r="201" spans="1:9" x14ac:dyDescent="0.3">
      <c r="A201" t="s">
        <v>186</v>
      </c>
      <c r="B201" t="s">
        <v>226</v>
      </c>
      <c r="C201" t="s">
        <v>240</v>
      </c>
      <c r="D201" t="s">
        <v>248</v>
      </c>
      <c r="E201" s="3">
        <v>45189</v>
      </c>
      <c r="F201" t="s">
        <v>249</v>
      </c>
      <c r="G201">
        <v>12000</v>
      </c>
      <c r="H201" t="s">
        <v>252</v>
      </c>
      <c r="I201" t="s">
        <v>261</v>
      </c>
    </row>
    <row r="202" spans="1:9" x14ac:dyDescent="0.3">
      <c r="A202" t="s">
        <v>187</v>
      </c>
      <c r="B202" t="s">
        <v>228</v>
      </c>
      <c r="C202" t="s">
        <v>237</v>
      </c>
      <c r="D202" t="s">
        <v>242</v>
      </c>
      <c r="E202" s="3">
        <v>45139</v>
      </c>
      <c r="F202" t="s">
        <v>249</v>
      </c>
      <c r="G202">
        <v>12000</v>
      </c>
      <c r="H202" t="s">
        <v>255</v>
      </c>
      <c r="I202" t="s">
        <v>260</v>
      </c>
    </row>
    <row r="203" spans="1:9" x14ac:dyDescent="0.3">
      <c r="A203" t="s">
        <v>188</v>
      </c>
      <c r="B203" t="s">
        <v>227</v>
      </c>
      <c r="C203" t="s">
        <v>236</v>
      </c>
      <c r="D203" t="s">
        <v>244</v>
      </c>
      <c r="E203" s="3">
        <v>45041</v>
      </c>
      <c r="F203" t="s">
        <v>249</v>
      </c>
      <c r="G203">
        <v>10000</v>
      </c>
      <c r="H203" t="s">
        <v>252</v>
      </c>
      <c r="I203" t="s">
        <v>260</v>
      </c>
    </row>
    <row r="204" spans="1:9" x14ac:dyDescent="0.3">
      <c r="A204" t="s">
        <v>189</v>
      </c>
      <c r="B204" t="s">
        <v>226</v>
      </c>
      <c r="C204" t="s">
        <v>238</v>
      </c>
      <c r="D204" t="s">
        <v>242</v>
      </c>
      <c r="E204" s="3">
        <v>45073</v>
      </c>
      <c r="F204" t="s">
        <v>250</v>
      </c>
      <c r="G204">
        <v>7000</v>
      </c>
      <c r="H204" t="s">
        <v>256</v>
      </c>
      <c r="I204" t="s">
        <v>258</v>
      </c>
    </row>
    <row r="205" spans="1:9" x14ac:dyDescent="0.3">
      <c r="A205" t="s">
        <v>190</v>
      </c>
      <c r="B205" t="s">
        <v>224</v>
      </c>
      <c r="C205" t="s">
        <v>233</v>
      </c>
      <c r="D205" t="s">
        <v>245</v>
      </c>
      <c r="E205" s="3">
        <v>44936</v>
      </c>
      <c r="F205" t="s">
        <v>250</v>
      </c>
      <c r="G205">
        <v>7000</v>
      </c>
      <c r="H205" t="s">
        <v>253</v>
      </c>
      <c r="I205" t="s">
        <v>258</v>
      </c>
    </row>
    <row r="206" spans="1:9" x14ac:dyDescent="0.3">
      <c r="A206" t="s">
        <v>151</v>
      </c>
      <c r="B206" t="s">
        <v>224</v>
      </c>
      <c r="C206" t="s">
        <v>234</v>
      </c>
      <c r="D206" t="s">
        <v>245</v>
      </c>
      <c r="E206" s="3">
        <v>45074</v>
      </c>
      <c r="F206" t="s">
        <v>249</v>
      </c>
      <c r="G206">
        <v>10000</v>
      </c>
      <c r="H206" t="s">
        <v>252</v>
      </c>
      <c r="I206" t="s">
        <v>259</v>
      </c>
    </row>
    <row r="207" spans="1:9" x14ac:dyDescent="0.3">
      <c r="A207" t="s">
        <v>191</v>
      </c>
      <c r="B207" t="s">
        <v>227</v>
      </c>
      <c r="C207" t="s">
        <v>239</v>
      </c>
      <c r="D207" t="s">
        <v>245</v>
      </c>
      <c r="E207" s="3">
        <v>44983</v>
      </c>
      <c r="F207" t="s">
        <v>250</v>
      </c>
      <c r="G207">
        <v>5000</v>
      </c>
      <c r="H207" t="s">
        <v>255</v>
      </c>
      <c r="I207" t="s">
        <v>258</v>
      </c>
    </row>
    <row r="208" spans="1:9" x14ac:dyDescent="0.3">
      <c r="A208" t="s">
        <v>192</v>
      </c>
      <c r="B208" t="s">
        <v>230</v>
      </c>
      <c r="C208" t="s">
        <v>238</v>
      </c>
      <c r="D208" t="s">
        <v>241</v>
      </c>
      <c r="E208" s="3">
        <v>45146</v>
      </c>
      <c r="F208" t="s">
        <v>249</v>
      </c>
      <c r="G208">
        <v>10000</v>
      </c>
      <c r="H208" t="s">
        <v>253</v>
      </c>
      <c r="I208" t="s">
        <v>257</v>
      </c>
    </row>
    <row r="209" spans="1:9" x14ac:dyDescent="0.3">
      <c r="A209" t="s">
        <v>193</v>
      </c>
      <c r="B209" t="s">
        <v>226</v>
      </c>
      <c r="C209" t="s">
        <v>236</v>
      </c>
      <c r="D209" t="s">
        <v>244</v>
      </c>
      <c r="E209" s="3">
        <v>44961</v>
      </c>
      <c r="F209" t="s">
        <v>251</v>
      </c>
      <c r="G209">
        <v>5000</v>
      </c>
      <c r="H209" t="s">
        <v>256</v>
      </c>
      <c r="I209" t="s">
        <v>258</v>
      </c>
    </row>
    <row r="210" spans="1:9" x14ac:dyDescent="0.3">
      <c r="A210" t="s">
        <v>194</v>
      </c>
      <c r="B210" t="s">
        <v>228</v>
      </c>
      <c r="C210" t="s">
        <v>233</v>
      </c>
      <c r="D210" t="s">
        <v>243</v>
      </c>
      <c r="E210" s="3">
        <v>45118</v>
      </c>
      <c r="F210" t="s">
        <v>250</v>
      </c>
      <c r="G210">
        <v>5000</v>
      </c>
      <c r="H210" t="s">
        <v>254</v>
      </c>
      <c r="I210" t="s">
        <v>258</v>
      </c>
    </row>
    <row r="211" spans="1:9" x14ac:dyDescent="0.3">
      <c r="A211" t="s">
        <v>137</v>
      </c>
      <c r="B211" t="s">
        <v>223</v>
      </c>
      <c r="C211" t="s">
        <v>237</v>
      </c>
      <c r="D211" t="s">
        <v>247</v>
      </c>
      <c r="E211" s="3">
        <v>45263</v>
      </c>
      <c r="F211" t="s">
        <v>251</v>
      </c>
      <c r="G211">
        <v>5000</v>
      </c>
      <c r="H211" t="s">
        <v>255</v>
      </c>
      <c r="I211" t="s">
        <v>258</v>
      </c>
    </row>
    <row r="212" spans="1:9" x14ac:dyDescent="0.3">
      <c r="A212" t="s">
        <v>111</v>
      </c>
      <c r="B212" t="s">
        <v>229</v>
      </c>
      <c r="C212" t="s">
        <v>238</v>
      </c>
      <c r="D212" t="s">
        <v>242</v>
      </c>
      <c r="E212" s="3">
        <v>45107</v>
      </c>
      <c r="F212" t="s">
        <v>251</v>
      </c>
      <c r="G212">
        <v>10000</v>
      </c>
      <c r="H212" t="s">
        <v>253</v>
      </c>
      <c r="I212" t="s">
        <v>258</v>
      </c>
    </row>
    <row r="213" spans="1:9" x14ac:dyDescent="0.3">
      <c r="A213" t="s">
        <v>92</v>
      </c>
      <c r="B213" t="s">
        <v>228</v>
      </c>
      <c r="C213" t="s">
        <v>239</v>
      </c>
      <c r="D213" t="s">
        <v>246</v>
      </c>
      <c r="E213" s="3">
        <v>44996</v>
      </c>
      <c r="F213" t="s">
        <v>249</v>
      </c>
      <c r="G213">
        <v>12000</v>
      </c>
      <c r="H213" t="s">
        <v>252</v>
      </c>
      <c r="I213" t="s">
        <v>260</v>
      </c>
    </row>
    <row r="214" spans="1:9" x14ac:dyDescent="0.3">
      <c r="A214" t="s">
        <v>195</v>
      </c>
      <c r="B214" t="s">
        <v>225</v>
      </c>
      <c r="C214" t="s">
        <v>235</v>
      </c>
      <c r="D214" t="s">
        <v>242</v>
      </c>
      <c r="E214" s="3">
        <v>45088</v>
      </c>
      <c r="F214" t="s">
        <v>250</v>
      </c>
      <c r="G214">
        <v>12000</v>
      </c>
      <c r="H214" t="s">
        <v>255</v>
      </c>
      <c r="I214" t="s">
        <v>258</v>
      </c>
    </row>
    <row r="215" spans="1:9" x14ac:dyDescent="0.3">
      <c r="A215" t="s">
        <v>67</v>
      </c>
      <c r="B215" t="s">
        <v>231</v>
      </c>
      <c r="C215" t="s">
        <v>233</v>
      </c>
      <c r="D215" t="s">
        <v>247</v>
      </c>
      <c r="E215" s="3">
        <v>45073</v>
      </c>
      <c r="F215" t="s">
        <v>250</v>
      </c>
      <c r="G215">
        <v>5000</v>
      </c>
      <c r="H215" t="s">
        <v>254</v>
      </c>
      <c r="I215" t="s">
        <v>258</v>
      </c>
    </row>
    <row r="216" spans="1:9" x14ac:dyDescent="0.3">
      <c r="A216" t="s">
        <v>196</v>
      </c>
      <c r="B216" t="s">
        <v>223</v>
      </c>
      <c r="C216" t="s">
        <v>237</v>
      </c>
      <c r="D216" t="s">
        <v>243</v>
      </c>
      <c r="E216" s="3">
        <v>45131</v>
      </c>
      <c r="F216" t="s">
        <v>251</v>
      </c>
      <c r="G216">
        <v>12000</v>
      </c>
      <c r="H216" t="s">
        <v>256</v>
      </c>
      <c r="I216" t="s">
        <v>258</v>
      </c>
    </row>
    <row r="217" spans="1:9" x14ac:dyDescent="0.3">
      <c r="A217" t="s">
        <v>197</v>
      </c>
      <c r="B217" t="s">
        <v>226</v>
      </c>
      <c r="C217" t="s">
        <v>239</v>
      </c>
      <c r="D217" t="s">
        <v>248</v>
      </c>
      <c r="E217" s="3">
        <v>45115</v>
      </c>
      <c r="F217" t="s">
        <v>251</v>
      </c>
      <c r="G217">
        <v>10000</v>
      </c>
      <c r="H217" t="s">
        <v>252</v>
      </c>
      <c r="I217" t="s">
        <v>258</v>
      </c>
    </row>
    <row r="218" spans="1:9" x14ac:dyDescent="0.3">
      <c r="A218" t="s">
        <v>198</v>
      </c>
      <c r="B218" t="s">
        <v>227</v>
      </c>
      <c r="C218" t="s">
        <v>236</v>
      </c>
      <c r="D218" t="s">
        <v>243</v>
      </c>
      <c r="E218" s="3">
        <v>45235</v>
      </c>
      <c r="F218" t="s">
        <v>249</v>
      </c>
      <c r="G218">
        <v>10000</v>
      </c>
      <c r="H218" t="s">
        <v>254</v>
      </c>
      <c r="I218" t="s">
        <v>259</v>
      </c>
    </row>
    <row r="219" spans="1:9" x14ac:dyDescent="0.3">
      <c r="A219" t="s">
        <v>16</v>
      </c>
      <c r="B219" t="s">
        <v>229</v>
      </c>
      <c r="C219" t="s">
        <v>240</v>
      </c>
      <c r="D219" t="s">
        <v>241</v>
      </c>
      <c r="E219" s="3">
        <v>45155</v>
      </c>
      <c r="F219" t="s">
        <v>251</v>
      </c>
      <c r="G219">
        <v>12000</v>
      </c>
      <c r="H219" t="s">
        <v>253</v>
      </c>
      <c r="I219" t="s">
        <v>258</v>
      </c>
    </row>
    <row r="220" spans="1:9" x14ac:dyDescent="0.3">
      <c r="A220" t="s">
        <v>199</v>
      </c>
      <c r="B220" t="s">
        <v>228</v>
      </c>
      <c r="C220" t="s">
        <v>237</v>
      </c>
      <c r="D220" t="s">
        <v>248</v>
      </c>
      <c r="E220" s="3">
        <v>44948</v>
      </c>
      <c r="F220" t="s">
        <v>251</v>
      </c>
      <c r="G220">
        <v>10000</v>
      </c>
      <c r="H220" t="s">
        <v>255</v>
      </c>
      <c r="I220" t="s">
        <v>258</v>
      </c>
    </row>
    <row r="221" spans="1:9" x14ac:dyDescent="0.3">
      <c r="A221" t="s">
        <v>200</v>
      </c>
      <c r="B221" t="s">
        <v>231</v>
      </c>
      <c r="C221" t="s">
        <v>233</v>
      </c>
      <c r="D221" t="s">
        <v>245</v>
      </c>
      <c r="E221" s="3">
        <v>45270</v>
      </c>
      <c r="F221" t="s">
        <v>251</v>
      </c>
      <c r="G221">
        <v>12000</v>
      </c>
      <c r="H221" t="s">
        <v>254</v>
      </c>
      <c r="I221" t="s">
        <v>258</v>
      </c>
    </row>
    <row r="222" spans="1:9" x14ac:dyDescent="0.3">
      <c r="A222" t="s">
        <v>201</v>
      </c>
      <c r="B222" t="s">
        <v>226</v>
      </c>
      <c r="C222" t="s">
        <v>233</v>
      </c>
      <c r="D222" t="s">
        <v>246</v>
      </c>
      <c r="E222" s="3">
        <v>45238</v>
      </c>
      <c r="F222" t="s">
        <v>251</v>
      </c>
      <c r="G222">
        <v>12000</v>
      </c>
      <c r="H222" t="s">
        <v>252</v>
      </c>
      <c r="I222" t="s">
        <v>258</v>
      </c>
    </row>
    <row r="223" spans="1:9" x14ac:dyDescent="0.3">
      <c r="A223" t="s">
        <v>86</v>
      </c>
      <c r="B223" t="s">
        <v>223</v>
      </c>
      <c r="C223" t="s">
        <v>235</v>
      </c>
      <c r="D223" t="s">
        <v>244</v>
      </c>
      <c r="E223" s="3">
        <v>45112</v>
      </c>
      <c r="F223" t="s">
        <v>250</v>
      </c>
      <c r="G223">
        <v>5000</v>
      </c>
      <c r="H223" t="s">
        <v>255</v>
      </c>
      <c r="I223" t="s">
        <v>258</v>
      </c>
    </row>
    <row r="224" spans="1:9" x14ac:dyDescent="0.3">
      <c r="A224" t="s">
        <v>202</v>
      </c>
      <c r="B224" t="s">
        <v>228</v>
      </c>
      <c r="C224" t="s">
        <v>237</v>
      </c>
      <c r="D224" t="s">
        <v>244</v>
      </c>
      <c r="E224" s="3">
        <v>45154</v>
      </c>
      <c r="F224" t="s">
        <v>249</v>
      </c>
      <c r="G224">
        <v>7000</v>
      </c>
      <c r="H224" t="s">
        <v>255</v>
      </c>
      <c r="I224" t="s">
        <v>260</v>
      </c>
    </row>
    <row r="225" spans="1:9" x14ac:dyDescent="0.3">
      <c r="A225" t="s">
        <v>145</v>
      </c>
      <c r="B225" t="s">
        <v>229</v>
      </c>
      <c r="C225" t="s">
        <v>240</v>
      </c>
      <c r="D225" t="s">
        <v>247</v>
      </c>
      <c r="E225" s="3">
        <v>44985</v>
      </c>
      <c r="F225" t="s">
        <v>249</v>
      </c>
      <c r="G225">
        <v>7000</v>
      </c>
      <c r="H225" t="s">
        <v>256</v>
      </c>
      <c r="I225" t="s">
        <v>257</v>
      </c>
    </row>
    <row r="226" spans="1:9" x14ac:dyDescent="0.3">
      <c r="A226" t="s">
        <v>203</v>
      </c>
      <c r="B226" t="s">
        <v>232</v>
      </c>
      <c r="C226" t="s">
        <v>236</v>
      </c>
      <c r="D226" t="s">
        <v>241</v>
      </c>
      <c r="E226" s="3">
        <v>45060</v>
      </c>
      <c r="F226" t="s">
        <v>251</v>
      </c>
      <c r="G226">
        <v>12000</v>
      </c>
      <c r="H226" t="s">
        <v>253</v>
      </c>
      <c r="I226" t="s">
        <v>258</v>
      </c>
    </row>
    <row r="227" spans="1:9" x14ac:dyDescent="0.3">
      <c r="A227" t="s">
        <v>48</v>
      </c>
      <c r="B227" t="s">
        <v>231</v>
      </c>
      <c r="C227" t="s">
        <v>239</v>
      </c>
      <c r="D227" t="s">
        <v>247</v>
      </c>
      <c r="E227" s="3">
        <v>44989</v>
      </c>
      <c r="F227" t="s">
        <v>249</v>
      </c>
      <c r="G227">
        <v>5000</v>
      </c>
      <c r="H227" t="s">
        <v>256</v>
      </c>
      <c r="I227" t="s">
        <v>261</v>
      </c>
    </row>
    <row r="228" spans="1:9" x14ac:dyDescent="0.3">
      <c r="A228" t="s">
        <v>54</v>
      </c>
      <c r="B228" t="s">
        <v>228</v>
      </c>
      <c r="C228" t="s">
        <v>236</v>
      </c>
      <c r="D228" t="s">
        <v>244</v>
      </c>
      <c r="E228" s="3">
        <v>45268</v>
      </c>
      <c r="F228" t="s">
        <v>250</v>
      </c>
      <c r="G228">
        <v>5000</v>
      </c>
      <c r="H228" t="s">
        <v>255</v>
      </c>
      <c r="I228" t="s">
        <v>258</v>
      </c>
    </row>
    <row r="229" spans="1:9" x14ac:dyDescent="0.3">
      <c r="A229" t="s">
        <v>204</v>
      </c>
      <c r="B229" t="s">
        <v>231</v>
      </c>
      <c r="C229" t="s">
        <v>240</v>
      </c>
      <c r="D229" t="s">
        <v>246</v>
      </c>
      <c r="E229" s="3">
        <v>45291</v>
      </c>
      <c r="F229" t="s">
        <v>251</v>
      </c>
      <c r="G229">
        <v>7000</v>
      </c>
      <c r="H229" t="s">
        <v>254</v>
      </c>
      <c r="I229" t="s">
        <v>258</v>
      </c>
    </row>
    <row r="230" spans="1:9" x14ac:dyDescent="0.3">
      <c r="A230" t="s">
        <v>205</v>
      </c>
      <c r="B230" t="s">
        <v>230</v>
      </c>
      <c r="C230" t="s">
        <v>236</v>
      </c>
      <c r="D230" t="s">
        <v>247</v>
      </c>
      <c r="E230" s="3">
        <v>44998</v>
      </c>
      <c r="F230" t="s">
        <v>249</v>
      </c>
      <c r="G230">
        <v>12000</v>
      </c>
      <c r="H230" t="s">
        <v>252</v>
      </c>
      <c r="I230" t="s">
        <v>260</v>
      </c>
    </row>
    <row r="231" spans="1:9" x14ac:dyDescent="0.3">
      <c r="A231" t="s">
        <v>174</v>
      </c>
      <c r="B231" t="s">
        <v>224</v>
      </c>
      <c r="C231" t="s">
        <v>237</v>
      </c>
      <c r="D231" t="s">
        <v>248</v>
      </c>
      <c r="E231" s="3">
        <v>45209</v>
      </c>
      <c r="F231" t="s">
        <v>249</v>
      </c>
      <c r="G231">
        <v>5000</v>
      </c>
      <c r="H231" t="s">
        <v>252</v>
      </c>
      <c r="I231" t="s">
        <v>260</v>
      </c>
    </row>
    <row r="232" spans="1:9" x14ac:dyDescent="0.3">
      <c r="A232" t="s">
        <v>145</v>
      </c>
      <c r="B232" t="s">
        <v>228</v>
      </c>
      <c r="C232" t="s">
        <v>234</v>
      </c>
      <c r="D232" t="s">
        <v>243</v>
      </c>
      <c r="E232" s="3">
        <v>45221</v>
      </c>
      <c r="F232" t="s">
        <v>249</v>
      </c>
      <c r="G232">
        <v>7000</v>
      </c>
      <c r="H232" t="s">
        <v>254</v>
      </c>
      <c r="I232" t="s">
        <v>259</v>
      </c>
    </row>
    <row r="233" spans="1:9" x14ac:dyDescent="0.3">
      <c r="A233" t="s">
        <v>206</v>
      </c>
      <c r="B233" t="s">
        <v>228</v>
      </c>
      <c r="C233" t="s">
        <v>237</v>
      </c>
      <c r="D233" t="s">
        <v>246</v>
      </c>
      <c r="E233" s="3">
        <v>45209</v>
      </c>
      <c r="F233" t="s">
        <v>251</v>
      </c>
      <c r="G233">
        <v>7000</v>
      </c>
      <c r="H233" t="s">
        <v>253</v>
      </c>
      <c r="I233" t="s">
        <v>258</v>
      </c>
    </row>
    <row r="234" spans="1:9" x14ac:dyDescent="0.3">
      <c r="A234" t="s">
        <v>207</v>
      </c>
      <c r="B234" t="s">
        <v>232</v>
      </c>
      <c r="C234" t="s">
        <v>233</v>
      </c>
      <c r="D234" t="s">
        <v>245</v>
      </c>
      <c r="E234" s="3">
        <v>45192</v>
      </c>
      <c r="F234" t="s">
        <v>249</v>
      </c>
      <c r="G234">
        <v>10000</v>
      </c>
      <c r="H234" t="s">
        <v>253</v>
      </c>
      <c r="I234" t="s">
        <v>261</v>
      </c>
    </row>
    <row r="235" spans="1:9" x14ac:dyDescent="0.3">
      <c r="A235" t="s">
        <v>208</v>
      </c>
      <c r="B235" t="s">
        <v>230</v>
      </c>
      <c r="C235" t="s">
        <v>237</v>
      </c>
      <c r="D235" t="s">
        <v>241</v>
      </c>
      <c r="E235" s="3">
        <v>44967</v>
      </c>
      <c r="F235" t="s">
        <v>250</v>
      </c>
      <c r="G235">
        <v>7000</v>
      </c>
      <c r="H235" t="s">
        <v>255</v>
      </c>
      <c r="I235" t="s">
        <v>258</v>
      </c>
    </row>
    <row r="236" spans="1:9" x14ac:dyDescent="0.3">
      <c r="A236" t="s">
        <v>209</v>
      </c>
      <c r="B236" t="s">
        <v>226</v>
      </c>
      <c r="C236" t="s">
        <v>240</v>
      </c>
      <c r="D236" t="s">
        <v>245</v>
      </c>
      <c r="E236" s="3">
        <v>45184</v>
      </c>
      <c r="F236" t="s">
        <v>251</v>
      </c>
      <c r="G236">
        <v>7000</v>
      </c>
      <c r="H236" t="s">
        <v>255</v>
      </c>
      <c r="I236" t="s">
        <v>258</v>
      </c>
    </row>
    <row r="237" spans="1:9" x14ac:dyDescent="0.3">
      <c r="A237" t="s">
        <v>210</v>
      </c>
      <c r="B237" t="s">
        <v>224</v>
      </c>
      <c r="C237" t="s">
        <v>238</v>
      </c>
      <c r="D237" t="s">
        <v>246</v>
      </c>
      <c r="E237" s="3">
        <v>45264</v>
      </c>
      <c r="F237" t="s">
        <v>251</v>
      </c>
      <c r="G237">
        <v>10000</v>
      </c>
      <c r="H237" t="s">
        <v>255</v>
      </c>
      <c r="I237" t="s">
        <v>258</v>
      </c>
    </row>
    <row r="238" spans="1:9" x14ac:dyDescent="0.3">
      <c r="A238" t="s">
        <v>211</v>
      </c>
      <c r="B238" t="s">
        <v>225</v>
      </c>
      <c r="C238" t="s">
        <v>236</v>
      </c>
      <c r="D238" t="s">
        <v>242</v>
      </c>
      <c r="E238" s="3">
        <v>45255</v>
      </c>
      <c r="F238" t="s">
        <v>251</v>
      </c>
      <c r="G238">
        <v>10000</v>
      </c>
      <c r="H238" t="s">
        <v>253</v>
      </c>
      <c r="I238" t="s">
        <v>258</v>
      </c>
    </row>
    <row r="239" spans="1:9" x14ac:dyDescent="0.3">
      <c r="A239" t="s">
        <v>212</v>
      </c>
      <c r="B239" t="s">
        <v>224</v>
      </c>
      <c r="C239" t="s">
        <v>234</v>
      </c>
      <c r="D239" t="s">
        <v>242</v>
      </c>
      <c r="E239" s="3">
        <v>45181</v>
      </c>
      <c r="F239" t="s">
        <v>251</v>
      </c>
      <c r="G239">
        <v>10000</v>
      </c>
      <c r="H239" t="s">
        <v>254</v>
      </c>
      <c r="I239" t="s">
        <v>258</v>
      </c>
    </row>
    <row r="240" spans="1:9" x14ac:dyDescent="0.3">
      <c r="A240" t="s">
        <v>213</v>
      </c>
      <c r="B240" t="s">
        <v>230</v>
      </c>
      <c r="C240" t="s">
        <v>234</v>
      </c>
      <c r="D240" t="s">
        <v>241</v>
      </c>
      <c r="E240" s="3">
        <v>45159</v>
      </c>
      <c r="F240" t="s">
        <v>249</v>
      </c>
      <c r="G240">
        <v>5000</v>
      </c>
      <c r="H240" t="s">
        <v>253</v>
      </c>
      <c r="I240" t="s">
        <v>262</v>
      </c>
    </row>
    <row r="241" spans="1:9" x14ac:dyDescent="0.3">
      <c r="A241" t="s">
        <v>214</v>
      </c>
      <c r="B241" t="s">
        <v>228</v>
      </c>
      <c r="C241" t="s">
        <v>239</v>
      </c>
      <c r="D241" t="s">
        <v>247</v>
      </c>
      <c r="E241" s="3">
        <v>45101</v>
      </c>
      <c r="F241" t="s">
        <v>251</v>
      </c>
      <c r="G241">
        <v>7000</v>
      </c>
      <c r="H241" t="s">
        <v>254</v>
      </c>
      <c r="I241" t="s">
        <v>258</v>
      </c>
    </row>
    <row r="242" spans="1:9" x14ac:dyDescent="0.3">
      <c r="A242" t="s">
        <v>215</v>
      </c>
      <c r="B242" t="s">
        <v>229</v>
      </c>
      <c r="C242" t="s">
        <v>237</v>
      </c>
      <c r="D242" t="s">
        <v>243</v>
      </c>
      <c r="E242" s="3">
        <v>44993</v>
      </c>
      <c r="F242" t="s">
        <v>250</v>
      </c>
      <c r="G242">
        <v>5000</v>
      </c>
      <c r="H242" t="s">
        <v>254</v>
      </c>
      <c r="I242" t="s">
        <v>258</v>
      </c>
    </row>
    <row r="243" spans="1:9" x14ac:dyDescent="0.3">
      <c r="A243" t="s">
        <v>216</v>
      </c>
      <c r="B243" t="s">
        <v>228</v>
      </c>
      <c r="C243" t="s">
        <v>236</v>
      </c>
      <c r="D243" t="s">
        <v>241</v>
      </c>
      <c r="E243" s="3">
        <v>45157</v>
      </c>
      <c r="F243" t="s">
        <v>249</v>
      </c>
      <c r="G243">
        <v>7000</v>
      </c>
      <c r="H243" t="s">
        <v>252</v>
      </c>
      <c r="I243" t="s">
        <v>259</v>
      </c>
    </row>
    <row r="244" spans="1:9" x14ac:dyDescent="0.3">
      <c r="A244" t="s">
        <v>217</v>
      </c>
      <c r="B244" t="s">
        <v>227</v>
      </c>
      <c r="C244" t="s">
        <v>234</v>
      </c>
      <c r="D244" t="s">
        <v>247</v>
      </c>
      <c r="E244" s="3">
        <v>45008</v>
      </c>
      <c r="F244" t="s">
        <v>250</v>
      </c>
      <c r="G244">
        <v>10000</v>
      </c>
      <c r="H244" t="s">
        <v>253</v>
      </c>
      <c r="I244" t="s">
        <v>258</v>
      </c>
    </row>
    <row r="245" spans="1:9" x14ac:dyDescent="0.3">
      <c r="A245" t="s">
        <v>218</v>
      </c>
      <c r="B245" t="s">
        <v>226</v>
      </c>
      <c r="C245" t="s">
        <v>239</v>
      </c>
      <c r="D245" t="s">
        <v>248</v>
      </c>
      <c r="E245" s="3">
        <v>45182</v>
      </c>
      <c r="F245" t="s">
        <v>250</v>
      </c>
      <c r="G245">
        <v>12000</v>
      </c>
      <c r="H245" t="s">
        <v>252</v>
      </c>
      <c r="I245" t="s">
        <v>258</v>
      </c>
    </row>
    <row r="246" spans="1:9" x14ac:dyDescent="0.3">
      <c r="A246" t="s">
        <v>219</v>
      </c>
      <c r="B246" t="s">
        <v>227</v>
      </c>
      <c r="C246" t="s">
        <v>239</v>
      </c>
      <c r="D246" t="s">
        <v>247</v>
      </c>
      <c r="E246" s="3">
        <v>45037</v>
      </c>
      <c r="F246" t="s">
        <v>251</v>
      </c>
      <c r="G246">
        <v>10000</v>
      </c>
      <c r="H246" t="s">
        <v>252</v>
      </c>
      <c r="I246" t="s">
        <v>258</v>
      </c>
    </row>
    <row r="247" spans="1:9" x14ac:dyDescent="0.3">
      <c r="A247" t="s">
        <v>146</v>
      </c>
      <c r="B247" t="s">
        <v>231</v>
      </c>
      <c r="C247" t="s">
        <v>239</v>
      </c>
      <c r="D247" t="s">
        <v>248</v>
      </c>
      <c r="E247" s="3">
        <v>45073</v>
      </c>
      <c r="F247" t="s">
        <v>251</v>
      </c>
      <c r="G247">
        <v>5000</v>
      </c>
      <c r="H247" t="s">
        <v>252</v>
      </c>
      <c r="I247" t="s">
        <v>258</v>
      </c>
    </row>
    <row r="248" spans="1:9" x14ac:dyDescent="0.3">
      <c r="A248" t="s">
        <v>130</v>
      </c>
      <c r="B248" t="s">
        <v>226</v>
      </c>
      <c r="C248" t="s">
        <v>240</v>
      </c>
      <c r="D248" t="s">
        <v>244</v>
      </c>
      <c r="E248" s="3">
        <v>45133</v>
      </c>
      <c r="F248" t="s">
        <v>250</v>
      </c>
      <c r="G248">
        <v>5000</v>
      </c>
      <c r="H248" t="s">
        <v>256</v>
      </c>
      <c r="I248" t="s">
        <v>258</v>
      </c>
    </row>
    <row r="249" spans="1:9" x14ac:dyDescent="0.3">
      <c r="A249" t="s">
        <v>220</v>
      </c>
      <c r="B249" t="s">
        <v>224</v>
      </c>
      <c r="C249" t="s">
        <v>235</v>
      </c>
      <c r="D249" t="s">
        <v>244</v>
      </c>
      <c r="E249" s="3">
        <v>45210</v>
      </c>
      <c r="F249" t="s">
        <v>250</v>
      </c>
      <c r="G249">
        <v>5000</v>
      </c>
      <c r="H249" t="s">
        <v>256</v>
      </c>
      <c r="I249" t="s">
        <v>258</v>
      </c>
    </row>
    <row r="250" spans="1:9" x14ac:dyDescent="0.3">
      <c r="A250" t="s">
        <v>221</v>
      </c>
      <c r="B250" t="s">
        <v>228</v>
      </c>
      <c r="C250" t="s">
        <v>240</v>
      </c>
      <c r="D250" t="s">
        <v>245</v>
      </c>
      <c r="E250" s="3">
        <v>44992</v>
      </c>
      <c r="F250" t="s">
        <v>249</v>
      </c>
      <c r="G250">
        <v>12000</v>
      </c>
      <c r="H250" t="s">
        <v>254</v>
      </c>
      <c r="I250" t="s">
        <v>260</v>
      </c>
    </row>
    <row r="251" spans="1:9" x14ac:dyDescent="0.3">
      <c r="A251" t="s">
        <v>222</v>
      </c>
      <c r="B251" t="s">
        <v>229</v>
      </c>
      <c r="C251" t="s">
        <v>238</v>
      </c>
      <c r="D251" t="s">
        <v>247</v>
      </c>
      <c r="E251" s="3">
        <v>45235</v>
      </c>
      <c r="F251" t="s">
        <v>251</v>
      </c>
      <c r="G251">
        <v>12000</v>
      </c>
      <c r="H251" t="s">
        <v>255</v>
      </c>
      <c r="I251" t="s">
        <v>258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"/>
  <sheetViews>
    <sheetView workbookViewId="0">
      <selection activeCell="K23" sqref="K23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223</v>
      </c>
      <c r="C2" t="s">
        <v>233</v>
      </c>
      <c r="D2" t="s">
        <v>241</v>
      </c>
      <c r="E2" s="2">
        <v>45052</v>
      </c>
      <c r="F2" t="s">
        <v>249</v>
      </c>
      <c r="G2">
        <v>7000</v>
      </c>
      <c r="H2" t="s">
        <v>252</v>
      </c>
      <c r="I2">
        <v>5</v>
      </c>
    </row>
    <row r="3" spans="1:9" x14ac:dyDescent="0.3">
      <c r="A3" t="s">
        <v>10</v>
      </c>
      <c r="B3" t="s">
        <v>224</v>
      </c>
      <c r="C3" t="s">
        <v>234</v>
      </c>
      <c r="D3" t="s">
        <v>242</v>
      </c>
      <c r="E3" s="2">
        <v>44942</v>
      </c>
      <c r="F3" t="s">
        <v>249</v>
      </c>
      <c r="G3">
        <v>7000</v>
      </c>
      <c r="H3" t="s">
        <v>253</v>
      </c>
      <c r="I3">
        <v>5</v>
      </c>
    </row>
    <row r="4" spans="1:9" x14ac:dyDescent="0.3">
      <c r="A4" t="s">
        <v>11</v>
      </c>
      <c r="B4" t="s">
        <v>225</v>
      </c>
      <c r="C4" t="s">
        <v>235</v>
      </c>
      <c r="D4" t="s">
        <v>243</v>
      </c>
      <c r="E4" s="2">
        <v>45039</v>
      </c>
      <c r="F4" t="s">
        <v>250</v>
      </c>
      <c r="G4">
        <v>10000</v>
      </c>
      <c r="H4" t="s">
        <v>252</v>
      </c>
    </row>
    <row r="5" spans="1:9" x14ac:dyDescent="0.3">
      <c r="A5" t="s">
        <v>12</v>
      </c>
      <c r="B5" t="s">
        <v>226</v>
      </c>
      <c r="C5" t="s">
        <v>234</v>
      </c>
      <c r="D5" t="s">
        <v>244</v>
      </c>
      <c r="E5" s="2">
        <v>45069</v>
      </c>
      <c r="F5" t="s">
        <v>249</v>
      </c>
      <c r="G5">
        <v>7000</v>
      </c>
      <c r="H5" t="s">
        <v>254</v>
      </c>
      <c r="I5">
        <v>1</v>
      </c>
    </row>
    <row r="6" spans="1:9" x14ac:dyDescent="0.3">
      <c r="A6" t="s">
        <v>13</v>
      </c>
      <c r="B6" t="s">
        <v>227</v>
      </c>
      <c r="C6" t="s">
        <v>236</v>
      </c>
      <c r="D6" t="s">
        <v>244</v>
      </c>
      <c r="E6" s="2">
        <v>45103</v>
      </c>
      <c r="F6" t="s">
        <v>251</v>
      </c>
      <c r="G6">
        <v>10000</v>
      </c>
      <c r="H6" t="s">
        <v>252</v>
      </c>
    </row>
    <row r="7" spans="1:9" x14ac:dyDescent="0.3">
      <c r="A7" t="s">
        <v>14</v>
      </c>
      <c r="B7" t="s">
        <v>228</v>
      </c>
      <c r="C7" t="s">
        <v>236</v>
      </c>
      <c r="D7" t="s">
        <v>243</v>
      </c>
      <c r="E7" s="2">
        <v>44967</v>
      </c>
      <c r="F7" t="s">
        <v>251</v>
      </c>
      <c r="G7">
        <v>10000</v>
      </c>
      <c r="H7" t="s">
        <v>255</v>
      </c>
    </row>
    <row r="8" spans="1:9" x14ac:dyDescent="0.3">
      <c r="A8" t="s">
        <v>15</v>
      </c>
      <c r="B8" t="s">
        <v>229</v>
      </c>
      <c r="C8" t="s">
        <v>235</v>
      </c>
      <c r="D8" t="s">
        <v>245</v>
      </c>
      <c r="E8" s="2">
        <v>44950</v>
      </c>
      <c r="F8" t="s">
        <v>251</v>
      </c>
      <c r="G8">
        <v>7000</v>
      </c>
      <c r="H8" t="s">
        <v>254</v>
      </c>
    </row>
    <row r="9" spans="1:9" x14ac:dyDescent="0.3">
      <c r="A9" t="s">
        <v>16</v>
      </c>
      <c r="B9" t="s">
        <v>230</v>
      </c>
      <c r="C9" t="s">
        <v>236</v>
      </c>
      <c r="D9" t="s">
        <v>243</v>
      </c>
      <c r="E9" s="2">
        <v>45069</v>
      </c>
      <c r="F9" t="s">
        <v>250</v>
      </c>
      <c r="G9">
        <v>10000</v>
      </c>
      <c r="H9" t="s">
        <v>253</v>
      </c>
    </row>
    <row r="10" spans="1:9" x14ac:dyDescent="0.3">
      <c r="A10" t="s">
        <v>17</v>
      </c>
      <c r="B10" t="s">
        <v>229</v>
      </c>
      <c r="C10" t="s">
        <v>235</v>
      </c>
      <c r="D10" t="s">
        <v>241</v>
      </c>
      <c r="E10" s="2">
        <v>45286</v>
      </c>
      <c r="F10" t="s">
        <v>251</v>
      </c>
      <c r="G10">
        <v>5000</v>
      </c>
      <c r="H10" t="s">
        <v>255</v>
      </c>
    </row>
    <row r="11" spans="1:9" x14ac:dyDescent="0.3">
      <c r="A11" t="s">
        <v>18</v>
      </c>
      <c r="B11" t="s">
        <v>226</v>
      </c>
      <c r="C11" t="s">
        <v>235</v>
      </c>
      <c r="D11" t="s">
        <v>246</v>
      </c>
      <c r="E11" s="2">
        <v>45163</v>
      </c>
      <c r="F11" t="s">
        <v>250</v>
      </c>
      <c r="G11">
        <v>10000</v>
      </c>
      <c r="H11" t="s">
        <v>255</v>
      </c>
    </row>
    <row r="12" spans="1:9" x14ac:dyDescent="0.3">
      <c r="A12" t="s">
        <v>19</v>
      </c>
      <c r="B12" t="s">
        <v>229</v>
      </c>
      <c r="C12" t="s">
        <v>233</v>
      </c>
      <c r="D12" t="s">
        <v>247</v>
      </c>
      <c r="E12" s="2">
        <v>44943</v>
      </c>
      <c r="F12" t="s">
        <v>250</v>
      </c>
      <c r="G12">
        <v>12000</v>
      </c>
      <c r="H12" t="s">
        <v>254</v>
      </c>
    </row>
    <row r="13" spans="1:9" x14ac:dyDescent="0.3">
      <c r="A13" t="s">
        <v>20</v>
      </c>
      <c r="B13" t="s">
        <v>230</v>
      </c>
      <c r="C13" t="s">
        <v>237</v>
      </c>
      <c r="D13" t="s">
        <v>247</v>
      </c>
      <c r="E13" s="2">
        <v>45262</v>
      </c>
      <c r="F13" t="s">
        <v>250</v>
      </c>
      <c r="G13">
        <v>12000</v>
      </c>
      <c r="H13" t="s">
        <v>256</v>
      </c>
    </row>
    <row r="14" spans="1:9" x14ac:dyDescent="0.3">
      <c r="A14" t="s">
        <v>21</v>
      </c>
      <c r="B14" t="s">
        <v>231</v>
      </c>
      <c r="C14" t="s">
        <v>238</v>
      </c>
      <c r="D14" t="s">
        <v>247</v>
      </c>
      <c r="E14" s="2">
        <v>45214</v>
      </c>
      <c r="F14" t="s">
        <v>251</v>
      </c>
      <c r="G14">
        <v>10000</v>
      </c>
      <c r="H14" t="s">
        <v>255</v>
      </c>
    </row>
    <row r="15" spans="1:9" x14ac:dyDescent="0.3">
      <c r="A15" t="s">
        <v>22</v>
      </c>
      <c r="B15" t="s">
        <v>224</v>
      </c>
      <c r="C15" t="s">
        <v>234</v>
      </c>
      <c r="D15" t="s">
        <v>244</v>
      </c>
      <c r="E15" s="2">
        <v>45039</v>
      </c>
      <c r="F15" t="s">
        <v>249</v>
      </c>
      <c r="G15">
        <v>12000</v>
      </c>
      <c r="H15" t="s">
        <v>252</v>
      </c>
      <c r="I15">
        <v>1</v>
      </c>
    </row>
    <row r="16" spans="1:9" x14ac:dyDescent="0.3">
      <c r="A16" t="s">
        <v>23</v>
      </c>
      <c r="B16" t="s">
        <v>223</v>
      </c>
      <c r="C16" t="s">
        <v>238</v>
      </c>
      <c r="D16" t="s">
        <v>246</v>
      </c>
      <c r="E16" s="2">
        <v>45275</v>
      </c>
      <c r="F16" t="s">
        <v>250</v>
      </c>
      <c r="G16">
        <v>5000</v>
      </c>
      <c r="H16" t="s">
        <v>256</v>
      </c>
    </row>
    <row r="17" spans="1:9" x14ac:dyDescent="0.3">
      <c r="A17" t="s">
        <v>24</v>
      </c>
      <c r="B17" t="s">
        <v>224</v>
      </c>
      <c r="C17" t="s">
        <v>239</v>
      </c>
      <c r="D17" t="s">
        <v>241</v>
      </c>
      <c r="E17" s="2">
        <v>45210</v>
      </c>
      <c r="F17" t="s">
        <v>249</v>
      </c>
      <c r="G17">
        <v>5000</v>
      </c>
      <c r="H17" t="s">
        <v>255</v>
      </c>
      <c r="I17">
        <v>3</v>
      </c>
    </row>
    <row r="18" spans="1:9" x14ac:dyDescent="0.3">
      <c r="A18" t="s">
        <v>25</v>
      </c>
      <c r="B18" t="s">
        <v>229</v>
      </c>
      <c r="C18" t="s">
        <v>236</v>
      </c>
      <c r="D18" t="s">
        <v>241</v>
      </c>
      <c r="E18" s="2">
        <v>45149</v>
      </c>
      <c r="F18" t="s">
        <v>249</v>
      </c>
      <c r="G18">
        <v>12000</v>
      </c>
      <c r="H18" t="s">
        <v>252</v>
      </c>
      <c r="I18">
        <v>3</v>
      </c>
    </row>
    <row r="19" spans="1:9" x14ac:dyDescent="0.3">
      <c r="A19" t="s">
        <v>26</v>
      </c>
      <c r="B19" t="s">
        <v>232</v>
      </c>
      <c r="C19" t="s">
        <v>238</v>
      </c>
      <c r="D19" t="s">
        <v>245</v>
      </c>
      <c r="E19" s="2">
        <v>45247</v>
      </c>
      <c r="F19" t="s">
        <v>250</v>
      </c>
      <c r="G19">
        <v>7000</v>
      </c>
      <c r="H19" t="s">
        <v>253</v>
      </c>
    </row>
    <row r="20" spans="1:9" x14ac:dyDescent="0.3">
      <c r="A20" t="s">
        <v>27</v>
      </c>
      <c r="B20" t="s">
        <v>226</v>
      </c>
      <c r="C20" t="s">
        <v>233</v>
      </c>
      <c r="D20" t="s">
        <v>244</v>
      </c>
      <c r="E20" s="2">
        <v>45177</v>
      </c>
      <c r="F20" t="s">
        <v>249</v>
      </c>
      <c r="G20">
        <v>5000</v>
      </c>
      <c r="H20" t="s">
        <v>254</v>
      </c>
      <c r="I20">
        <v>3</v>
      </c>
    </row>
    <row r="21" spans="1:9" x14ac:dyDescent="0.3">
      <c r="A21" t="s">
        <v>28</v>
      </c>
      <c r="B21" t="s">
        <v>225</v>
      </c>
      <c r="C21" t="s">
        <v>235</v>
      </c>
      <c r="D21" t="s">
        <v>245</v>
      </c>
      <c r="E21" s="2">
        <v>44970</v>
      </c>
      <c r="F21" t="s">
        <v>251</v>
      </c>
      <c r="G21">
        <v>12000</v>
      </c>
      <c r="H21" t="s">
        <v>252</v>
      </c>
    </row>
    <row r="22" spans="1:9" x14ac:dyDescent="0.3">
      <c r="A22" t="s">
        <v>29</v>
      </c>
      <c r="B22" t="s">
        <v>232</v>
      </c>
      <c r="C22" t="s">
        <v>238</v>
      </c>
      <c r="D22" t="s">
        <v>246</v>
      </c>
      <c r="E22" s="2">
        <v>45264</v>
      </c>
      <c r="F22" t="s">
        <v>250</v>
      </c>
      <c r="G22">
        <v>7000</v>
      </c>
      <c r="H22" t="s">
        <v>254</v>
      </c>
    </row>
    <row r="23" spans="1:9" x14ac:dyDescent="0.3">
      <c r="A23" t="s">
        <v>30</v>
      </c>
      <c r="B23" t="s">
        <v>224</v>
      </c>
      <c r="C23" t="s">
        <v>234</v>
      </c>
      <c r="D23" t="s">
        <v>247</v>
      </c>
      <c r="E23" s="2">
        <v>45203</v>
      </c>
      <c r="F23" t="s">
        <v>251</v>
      </c>
      <c r="G23">
        <v>7000</v>
      </c>
      <c r="H23" t="s">
        <v>254</v>
      </c>
    </row>
    <row r="24" spans="1:9" x14ac:dyDescent="0.3">
      <c r="A24" t="s">
        <v>31</v>
      </c>
      <c r="B24" t="s">
        <v>229</v>
      </c>
      <c r="C24" t="s">
        <v>239</v>
      </c>
      <c r="D24" t="s">
        <v>248</v>
      </c>
      <c r="E24" s="2">
        <v>44988</v>
      </c>
      <c r="F24" t="s">
        <v>249</v>
      </c>
      <c r="G24">
        <v>7000</v>
      </c>
      <c r="H24" t="s">
        <v>252</v>
      </c>
      <c r="I24">
        <v>3</v>
      </c>
    </row>
    <row r="25" spans="1:9" x14ac:dyDescent="0.3">
      <c r="A25" t="s">
        <v>32</v>
      </c>
      <c r="B25" t="s">
        <v>224</v>
      </c>
      <c r="C25" t="s">
        <v>235</v>
      </c>
      <c r="D25" t="s">
        <v>247</v>
      </c>
      <c r="E25" s="2">
        <v>44930</v>
      </c>
      <c r="F25" t="s">
        <v>249</v>
      </c>
      <c r="G25">
        <v>5000</v>
      </c>
      <c r="H25" t="s">
        <v>253</v>
      </c>
      <c r="I25">
        <v>1</v>
      </c>
    </row>
    <row r="26" spans="1:9" x14ac:dyDescent="0.3">
      <c r="A26" t="s">
        <v>33</v>
      </c>
      <c r="B26" t="s">
        <v>225</v>
      </c>
      <c r="C26" t="s">
        <v>237</v>
      </c>
      <c r="D26" t="s">
        <v>245</v>
      </c>
      <c r="E26" s="2">
        <v>45190</v>
      </c>
      <c r="F26" t="s">
        <v>249</v>
      </c>
      <c r="G26">
        <v>10000</v>
      </c>
      <c r="H26" t="s">
        <v>256</v>
      </c>
      <c r="I26">
        <v>2</v>
      </c>
    </row>
    <row r="27" spans="1:9" x14ac:dyDescent="0.3">
      <c r="A27" t="s">
        <v>34</v>
      </c>
      <c r="B27" t="s">
        <v>226</v>
      </c>
      <c r="C27" t="s">
        <v>239</v>
      </c>
      <c r="D27" t="s">
        <v>247</v>
      </c>
      <c r="E27" s="2">
        <v>45169</v>
      </c>
      <c r="F27" t="s">
        <v>250</v>
      </c>
      <c r="G27">
        <v>7000</v>
      </c>
      <c r="H27" t="s">
        <v>252</v>
      </c>
    </row>
    <row r="28" spans="1:9" x14ac:dyDescent="0.3">
      <c r="A28" t="s">
        <v>35</v>
      </c>
      <c r="B28" t="s">
        <v>227</v>
      </c>
      <c r="C28" t="s">
        <v>237</v>
      </c>
      <c r="D28" t="s">
        <v>243</v>
      </c>
      <c r="E28" s="2">
        <v>45137</v>
      </c>
      <c r="F28" t="s">
        <v>250</v>
      </c>
      <c r="G28">
        <v>5000</v>
      </c>
      <c r="H28" t="s">
        <v>252</v>
      </c>
    </row>
    <row r="29" spans="1:9" x14ac:dyDescent="0.3">
      <c r="A29" t="s">
        <v>36</v>
      </c>
      <c r="B29" t="s">
        <v>227</v>
      </c>
      <c r="C29" t="s">
        <v>237</v>
      </c>
      <c r="D29" t="s">
        <v>245</v>
      </c>
      <c r="E29" s="2">
        <v>45054</v>
      </c>
      <c r="F29" t="s">
        <v>249</v>
      </c>
      <c r="G29">
        <v>7000</v>
      </c>
      <c r="H29" t="s">
        <v>255</v>
      </c>
      <c r="I29">
        <v>4</v>
      </c>
    </row>
    <row r="30" spans="1:9" x14ac:dyDescent="0.3">
      <c r="A30" t="s">
        <v>37</v>
      </c>
      <c r="B30" t="s">
        <v>227</v>
      </c>
      <c r="C30" t="s">
        <v>238</v>
      </c>
      <c r="D30" t="s">
        <v>241</v>
      </c>
      <c r="E30" s="2">
        <v>45163</v>
      </c>
      <c r="F30" t="s">
        <v>249</v>
      </c>
      <c r="G30">
        <v>5000</v>
      </c>
      <c r="H30" t="s">
        <v>256</v>
      </c>
      <c r="I30">
        <v>5</v>
      </c>
    </row>
    <row r="31" spans="1:9" x14ac:dyDescent="0.3">
      <c r="A31" t="s">
        <v>38</v>
      </c>
      <c r="B31" t="s">
        <v>225</v>
      </c>
      <c r="C31" t="s">
        <v>233</v>
      </c>
      <c r="D31" t="s">
        <v>245</v>
      </c>
      <c r="E31" s="2">
        <v>45048</v>
      </c>
      <c r="F31" t="s">
        <v>249</v>
      </c>
      <c r="G31">
        <v>12000</v>
      </c>
      <c r="H31" t="s">
        <v>256</v>
      </c>
      <c r="I31">
        <v>4</v>
      </c>
    </row>
    <row r="32" spans="1:9" x14ac:dyDescent="0.3">
      <c r="A32" t="s">
        <v>39</v>
      </c>
      <c r="B32" t="s">
        <v>227</v>
      </c>
      <c r="C32" t="s">
        <v>233</v>
      </c>
      <c r="D32" t="s">
        <v>246</v>
      </c>
      <c r="E32" s="2">
        <v>45121</v>
      </c>
      <c r="F32" t="s">
        <v>249</v>
      </c>
      <c r="G32">
        <v>12000</v>
      </c>
      <c r="H32" t="s">
        <v>254</v>
      </c>
      <c r="I32">
        <v>4</v>
      </c>
    </row>
    <row r="33" spans="1:9" x14ac:dyDescent="0.3">
      <c r="A33" t="s">
        <v>40</v>
      </c>
      <c r="B33" t="s">
        <v>227</v>
      </c>
      <c r="C33" t="s">
        <v>239</v>
      </c>
      <c r="D33" t="s">
        <v>246</v>
      </c>
      <c r="E33" s="2">
        <v>45024</v>
      </c>
      <c r="F33" t="s">
        <v>250</v>
      </c>
      <c r="G33">
        <v>7000</v>
      </c>
      <c r="H33" t="s">
        <v>252</v>
      </c>
    </row>
    <row r="34" spans="1:9" x14ac:dyDescent="0.3">
      <c r="A34" t="s">
        <v>41</v>
      </c>
      <c r="B34" t="s">
        <v>232</v>
      </c>
      <c r="C34" t="s">
        <v>233</v>
      </c>
      <c r="D34" t="s">
        <v>244</v>
      </c>
      <c r="E34" s="2">
        <v>44956</v>
      </c>
      <c r="F34" t="s">
        <v>249</v>
      </c>
      <c r="G34">
        <v>12000</v>
      </c>
      <c r="H34" t="s">
        <v>255</v>
      </c>
      <c r="I34">
        <v>5</v>
      </c>
    </row>
    <row r="35" spans="1:9" x14ac:dyDescent="0.3">
      <c r="A35" t="s">
        <v>42</v>
      </c>
      <c r="B35" t="s">
        <v>225</v>
      </c>
      <c r="C35" t="s">
        <v>236</v>
      </c>
      <c r="D35" t="s">
        <v>246</v>
      </c>
      <c r="E35" s="2">
        <v>44962</v>
      </c>
      <c r="F35" t="s">
        <v>251</v>
      </c>
      <c r="G35">
        <v>5000</v>
      </c>
      <c r="H35" t="s">
        <v>253</v>
      </c>
    </row>
    <row r="36" spans="1:9" x14ac:dyDescent="0.3">
      <c r="A36" t="s">
        <v>43</v>
      </c>
      <c r="B36" t="s">
        <v>223</v>
      </c>
      <c r="C36" t="s">
        <v>235</v>
      </c>
      <c r="D36" t="s">
        <v>242</v>
      </c>
      <c r="E36" s="2">
        <v>45244</v>
      </c>
      <c r="F36" t="s">
        <v>249</v>
      </c>
      <c r="G36">
        <v>12000</v>
      </c>
      <c r="H36" t="s">
        <v>255</v>
      </c>
      <c r="I36">
        <v>5</v>
      </c>
    </row>
    <row r="37" spans="1:9" x14ac:dyDescent="0.3">
      <c r="A37" t="s">
        <v>44</v>
      </c>
      <c r="B37" t="s">
        <v>229</v>
      </c>
      <c r="C37" t="s">
        <v>240</v>
      </c>
      <c r="D37" t="s">
        <v>247</v>
      </c>
      <c r="E37" s="2">
        <v>45269</v>
      </c>
      <c r="F37" t="s">
        <v>251</v>
      </c>
      <c r="G37">
        <v>10000</v>
      </c>
      <c r="H37" t="s">
        <v>253</v>
      </c>
    </row>
    <row r="38" spans="1:9" x14ac:dyDescent="0.3">
      <c r="A38" t="s">
        <v>45</v>
      </c>
      <c r="B38" t="s">
        <v>227</v>
      </c>
      <c r="C38" t="s">
        <v>238</v>
      </c>
      <c r="D38" t="s">
        <v>241</v>
      </c>
      <c r="E38" s="2">
        <v>45161</v>
      </c>
      <c r="F38" t="s">
        <v>250</v>
      </c>
      <c r="G38">
        <v>5000</v>
      </c>
      <c r="H38" t="s">
        <v>252</v>
      </c>
    </row>
    <row r="39" spans="1:9" x14ac:dyDescent="0.3">
      <c r="A39" t="s">
        <v>46</v>
      </c>
      <c r="B39" t="s">
        <v>224</v>
      </c>
      <c r="C39" t="s">
        <v>236</v>
      </c>
      <c r="D39" t="s">
        <v>245</v>
      </c>
      <c r="E39" s="2">
        <v>45202</v>
      </c>
      <c r="F39" t="s">
        <v>249</v>
      </c>
      <c r="G39">
        <v>10000</v>
      </c>
      <c r="H39" t="s">
        <v>253</v>
      </c>
      <c r="I39">
        <v>3</v>
      </c>
    </row>
    <row r="40" spans="1:9" x14ac:dyDescent="0.3">
      <c r="A40" t="s">
        <v>47</v>
      </c>
      <c r="B40" t="s">
        <v>223</v>
      </c>
      <c r="C40" t="s">
        <v>235</v>
      </c>
      <c r="D40" t="s">
        <v>244</v>
      </c>
      <c r="E40" s="2">
        <v>45072</v>
      </c>
      <c r="F40" t="s">
        <v>249</v>
      </c>
      <c r="G40">
        <v>12000</v>
      </c>
      <c r="H40" t="s">
        <v>255</v>
      </c>
      <c r="I40">
        <v>3</v>
      </c>
    </row>
    <row r="41" spans="1:9" x14ac:dyDescent="0.3">
      <c r="A41" t="s">
        <v>48</v>
      </c>
      <c r="B41" t="s">
        <v>232</v>
      </c>
      <c r="C41" t="s">
        <v>233</v>
      </c>
      <c r="D41" t="s">
        <v>241</v>
      </c>
      <c r="E41" s="2">
        <v>45266</v>
      </c>
      <c r="F41" t="s">
        <v>249</v>
      </c>
      <c r="G41">
        <v>7000</v>
      </c>
      <c r="H41" t="s">
        <v>254</v>
      </c>
      <c r="I41">
        <v>1</v>
      </c>
    </row>
    <row r="42" spans="1:9" x14ac:dyDescent="0.3">
      <c r="A42" t="s">
        <v>49</v>
      </c>
      <c r="B42" t="s">
        <v>223</v>
      </c>
      <c r="C42" t="s">
        <v>238</v>
      </c>
      <c r="D42" t="s">
        <v>241</v>
      </c>
      <c r="E42" s="2">
        <v>45071</v>
      </c>
      <c r="F42" t="s">
        <v>251</v>
      </c>
      <c r="G42">
        <v>7000</v>
      </c>
      <c r="H42" t="s">
        <v>254</v>
      </c>
    </row>
    <row r="43" spans="1:9" x14ac:dyDescent="0.3">
      <c r="A43" t="s">
        <v>50</v>
      </c>
      <c r="B43" t="s">
        <v>231</v>
      </c>
      <c r="C43" t="s">
        <v>239</v>
      </c>
      <c r="D43" t="s">
        <v>241</v>
      </c>
      <c r="E43" s="2">
        <v>44953</v>
      </c>
      <c r="F43" t="s">
        <v>249</v>
      </c>
      <c r="G43">
        <v>12000</v>
      </c>
      <c r="H43" t="s">
        <v>254</v>
      </c>
      <c r="I43">
        <v>1</v>
      </c>
    </row>
    <row r="44" spans="1:9" x14ac:dyDescent="0.3">
      <c r="A44" t="s">
        <v>51</v>
      </c>
      <c r="B44" t="s">
        <v>229</v>
      </c>
      <c r="C44" t="s">
        <v>238</v>
      </c>
      <c r="D44" t="s">
        <v>241</v>
      </c>
      <c r="E44" s="2">
        <v>45009</v>
      </c>
      <c r="F44" t="s">
        <v>251</v>
      </c>
      <c r="G44">
        <v>12000</v>
      </c>
      <c r="H44" t="s">
        <v>255</v>
      </c>
    </row>
    <row r="45" spans="1:9" x14ac:dyDescent="0.3">
      <c r="A45" t="s">
        <v>52</v>
      </c>
      <c r="B45" t="s">
        <v>227</v>
      </c>
      <c r="C45" t="s">
        <v>233</v>
      </c>
      <c r="D45" t="s">
        <v>245</v>
      </c>
      <c r="E45" s="2">
        <v>44965</v>
      </c>
      <c r="F45" t="s">
        <v>251</v>
      </c>
      <c r="G45">
        <v>7000</v>
      </c>
      <c r="H45" t="s">
        <v>255</v>
      </c>
    </row>
    <row r="46" spans="1:9" x14ac:dyDescent="0.3">
      <c r="A46" t="s">
        <v>53</v>
      </c>
      <c r="B46" t="s">
        <v>229</v>
      </c>
      <c r="C46" t="s">
        <v>238</v>
      </c>
      <c r="D46" t="s">
        <v>243</v>
      </c>
      <c r="E46" s="2">
        <v>44992</v>
      </c>
      <c r="F46" t="s">
        <v>249</v>
      </c>
      <c r="G46">
        <v>10000</v>
      </c>
      <c r="H46" t="s">
        <v>254</v>
      </c>
      <c r="I46">
        <v>1</v>
      </c>
    </row>
    <row r="47" spans="1:9" x14ac:dyDescent="0.3">
      <c r="A47" t="s">
        <v>54</v>
      </c>
      <c r="B47" t="s">
        <v>229</v>
      </c>
      <c r="C47" t="s">
        <v>235</v>
      </c>
      <c r="D47" t="s">
        <v>247</v>
      </c>
      <c r="E47" s="2">
        <v>45268</v>
      </c>
      <c r="F47" t="s">
        <v>249</v>
      </c>
      <c r="G47">
        <v>10000</v>
      </c>
      <c r="H47" t="s">
        <v>255</v>
      </c>
      <c r="I47">
        <v>4</v>
      </c>
    </row>
    <row r="48" spans="1:9" x14ac:dyDescent="0.3">
      <c r="A48" t="s">
        <v>55</v>
      </c>
      <c r="B48" t="s">
        <v>224</v>
      </c>
      <c r="C48" t="s">
        <v>238</v>
      </c>
      <c r="D48" t="s">
        <v>247</v>
      </c>
      <c r="E48" s="2">
        <v>45010</v>
      </c>
      <c r="F48" t="s">
        <v>249</v>
      </c>
      <c r="G48">
        <v>12000</v>
      </c>
      <c r="H48" t="s">
        <v>252</v>
      </c>
      <c r="I48">
        <v>2</v>
      </c>
    </row>
    <row r="49" spans="1:9" x14ac:dyDescent="0.3">
      <c r="A49" t="s">
        <v>56</v>
      </c>
      <c r="B49" t="s">
        <v>229</v>
      </c>
      <c r="C49" t="s">
        <v>234</v>
      </c>
      <c r="D49" t="s">
        <v>247</v>
      </c>
      <c r="E49" s="2">
        <v>45063</v>
      </c>
      <c r="F49" t="s">
        <v>249</v>
      </c>
      <c r="G49">
        <v>5000</v>
      </c>
      <c r="H49" t="s">
        <v>256</v>
      </c>
      <c r="I49">
        <v>1</v>
      </c>
    </row>
    <row r="50" spans="1:9" x14ac:dyDescent="0.3">
      <c r="A50" t="s">
        <v>57</v>
      </c>
      <c r="B50" t="s">
        <v>228</v>
      </c>
      <c r="C50" t="s">
        <v>235</v>
      </c>
      <c r="D50" t="s">
        <v>247</v>
      </c>
      <c r="E50" s="2">
        <v>45162</v>
      </c>
      <c r="F50" t="s">
        <v>250</v>
      </c>
      <c r="G50">
        <v>10000</v>
      </c>
      <c r="H50" t="s">
        <v>253</v>
      </c>
    </row>
    <row r="51" spans="1:9" x14ac:dyDescent="0.3">
      <c r="A51" t="s">
        <v>58</v>
      </c>
      <c r="B51" t="s">
        <v>225</v>
      </c>
      <c r="C51" t="s">
        <v>235</v>
      </c>
      <c r="D51" t="s">
        <v>243</v>
      </c>
      <c r="E51" s="2">
        <v>45095</v>
      </c>
      <c r="F51" t="s">
        <v>250</v>
      </c>
      <c r="G51">
        <v>5000</v>
      </c>
      <c r="H51" t="s">
        <v>254</v>
      </c>
    </row>
    <row r="52" spans="1:9" x14ac:dyDescent="0.3">
      <c r="A52" t="s">
        <v>59</v>
      </c>
      <c r="B52" t="s">
        <v>232</v>
      </c>
      <c r="C52" t="s">
        <v>234</v>
      </c>
      <c r="D52" t="s">
        <v>244</v>
      </c>
      <c r="E52" s="2">
        <v>44941</v>
      </c>
      <c r="F52" t="s">
        <v>249</v>
      </c>
      <c r="G52">
        <v>10000</v>
      </c>
      <c r="H52" t="s">
        <v>253</v>
      </c>
      <c r="I52">
        <v>5</v>
      </c>
    </row>
    <row r="53" spans="1:9" x14ac:dyDescent="0.3">
      <c r="A53" t="s">
        <v>60</v>
      </c>
      <c r="B53" t="s">
        <v>231</v>
      </c>
      <c r="C53" t="s">
        <v>233</v>
      </c>
      <c r="D53" t="s">
        <v>245</v>
      </c>
      <c r="E53" s="2">
        <v>45232</v>
      </c>
      <c r="F53" t="s">
        <v>250</v>
      </c>
      <c r="G53">
        <v>10000</v>
      </c>
      <c r="H53" t="s">
        <v>254</v>
      </c>
    </row>
    <row r="54" spans="1:9" x14ac:dyDescent="0.3">
      <c r="A54" t="s">
        <v>61</v>
      </c>
      <c r="B54" t="s">
        <v>224</v>
      </c>
      <c r="C54" t="s">
        <v>236</v>
      </c>
      <c r="D54" t="s">
        <v>243</v>
      </c>
      <c r="E54" s="2">
        <v>45222</v>
      </c>
      <c r="F54" t="s">
        <v>249</v>
      </c>
      <c r="G54">
        <v>10000</v>
      </c>
      <c r="H54" t="s">
        <v>252</v>
      </c>
      <c r="I54">
        <v>4</v>
      </c>
    </row>
    <row r="55" spans="1:9" x14ac:dyDescent="0.3">
      <c r="A55" t="s">
        <v>62</v>
      </c>
      <c r="B55" t="s">
        <v>232</v>
      </c>
      <c r="C55" t="s">
        <v>235</v>
      </c>
      <c r="D55" t="s">
        <v>244</v>
      </c>
      <c r="E55" s="2">
        <v>45147</v>
      </c>
      <c r="F55" t="s">
        <v>249</v>
      </c>
      <c r="G55">
        <v>10000</v>
      </c>
      <c r="H55" t="s">
        <v>255</v>
      </c>
      <c r="I55">
        <v>3</v>
      </c>
    </row>
    <row r="56" spans="1:9" x14ac:dyDescent="0.3">
      <c r="A56" t="s">
        <v>63</v>
      </c>
      <c r="B56" t="s">
        <v>223</v>
      </c>
      <c r="C56" t="s">
        <v>240</v>
      </c>
      <c r="D56" t="s">
        <v>241</v>
      </c>
      <c r="E56" s="2">
        <v>45268</v>
      </c>
      <c r="F56" t="s">
        <v>250</v>
      </c>
      <c r="G56">
        <v>10000</v>
      </c>
      <c r="H56" t="s">
        <v>256</v>
      </c>
    </row>
    <row r="57" spans="1:9" x14ac:dyDescent="0.3">
      <c r="A57" t="s">
        <v>64</v>
      </c>
      <c r="B57" t="s">
        <v>231</v>
      </c>
      <c r="C57" t="s">
        <v>238</v>
      </c>
      <c r="D57" t="s">
        <v>247</v>
      </c>
      <c r="E57" s="2">
        <v>45142</v>
      </c>
      <c r="F57" t="s">
        <v>251</v>
      </c>
      <c r="G57">
        <v>12000</v>
      </c>
      <c r="H57" t="s">
        <v>253</v>
      </c>
    </row>
    <row r="58" spans="1:9" x14ac:dyDescent="0.3">
      <c r="A58" t="s">
        <v>65</v>
      </c>
      <c r="B58" t="s">
        <v>224</v>
      </c>
      <c r="C58" t="s">
        <v>240</v>
      </c>
      <c r="D58" t="s">
        <v>243</v>
      </c>
      <c r="E58" s="2">
        <v>45207</v>
      </c>
      <c r="F58" t="s">
        <v>249</v>
      </c>
      <c r="G58">
        <v>10000</v>
      </c>
      <c r="H58" t="s">
        <v>254</v>
      </c>
      <c r="I58">
        <v>2</v>
      </c>
    </row>
    <row r="59" spans="1:9" x14ac:dyDescent="0.3">
      <c r="A59" t="s">
        <v>66</v>
      </c>
      <c r="B59" t="s">
        <v>224</v>
      </c>
      <c r="C59" t="s">
        <v>237</v>
      </c>
      <c r="D59" t="s">
        <v>248</v>
      </c>
      <c r="E59" s="2">
        <v>45153</v>
      </c>
      <c r="F59" t="s">
        <v>250</v>
      </c>
      <c r="G59">
        <v>7000</v>
      </c>
      <c r="H59" t="s">
        <v>255</v>
      </c>
    </row>
    <row r="60" spans="1:9" x14ac:dyDescent="0.3">
      <c r="A60" t="s">
        <v>67</v>
      </c>
      <c r="B60" t="s">
        <v>226</v>
      </c>
      <c r="C60" t="s">
        <v>236</v>
      </c>
      <c r="D60" t="s">
        <v>241</v>
      </c>
      <c r="E60" s="2">
        <v>45190</v>
      </c>
      <c r="F60" t="s">
        <v>251</v>
      </c>
      <c r="G60">
        <v>10000</v>
      </c>
      <c r="H60" t="s">
        <v>252</v>
      </c>
    </row>
    <row r="61" spans="1:9" x14ac:dyDescent="0.3">
      <c r="A61" t="s">
        <v>68</v>
      </c>
      <c r="B61" t="s">
        <v>230</v>
      </c>
      <c r="C61" t="s">
        <v>240</v>
      </c>
      <c r="D61" t="s">
        <v>247</v>
      </c>
      <c r="E61" s="2">
        <v>45028</v>
      </c>
      <c r="F61" t="s">
        <v>249</v>
      </c>
      <c r="G61">
        <v>5000</v>
      </c>
      <c r="H61" t="s">
        <v>252</v>
      </c>
      <c r="I61">
        <v>2</v>
      </c>
    </row>
    <row r="62" spans="1:9" x14ac:dyDescent="0.3">
      <c r="A62" t="s">
        <v>69</v>
      </c>
      <c r="B62" t="s">
        <v>224</v>
      </c>
      <c r="C62" t="s">
        <v>236</v>
      </c>
      <c r="D62" t="s">
        <v>248</v>
      </c>
      <c r="E62" s="2">
        <v>45139</v>
      </c>
      <c r="F62" t="s">
        <v>251</v>
      </c>
      <c r="G62">
        <v>7000</v>
      </c>
      <c r="H62" t="s">
        <v>256</v>
      </c>
    </row>
    <row r="63" spans="1:9" x14ac:dyDescent="0.3">
      <c r="A63" t="s">
        <v>70</v>
      </c>
      <c r="B63" t="s">
        <v>227</v>
      </c>
      <c r="C63" t="s">
        <v>235</v>
      </c>
      <c r="D63" t="s">
        <v>246</v>
      </c>
      <c r="E63" s="2">
        <v>45262</v>
      </c>
      <c r="F63" t="s">
        <v>251</v>
      </c>
      <c r="G63">
        <v>5000</v>
      </c>
      <c r="H63" t="s">
        <v>252</v>
      </c>
    </row>
    <row r="64" spans="1:9" x14ac:dyDescent="0.3">
      <c r="A64" t="s">
        <v>71</v>
      </c>
      <c r="B64" t="s">
        <v>227</v>
      </c>
      <c r="C64" t="s">
        <v>235</v>
      </c>
      <c r="D64" t="s">
        <v>246</v>
      </c>
      <c r="E64" s="2">
        <v>45283</v>
      </c>
      <c r="F64" t="s">
        <v>251</v>
      </c>
      <c r="G64">
        <v>12000</v>
      </c>
      <c r="H64" t="s">
        <v>252</v>
      </c>
    </row>
    <row r="65" spans="1:9" x14ac:dyDescent="0.3">
      <c r="A65" t="s">
        <v>72</v>
      </c>
      <c r="B65" t="s">
        <v>230</v>
      </c>
      <c r="C65" t="s">
        <v>236</v>
      </c>
      <c r="D65" t="s">
        <v>248</v>
      </c>
      <c r="E65" s="2">
        <v>44995</v>
      </c>
      <c r="F65" t="s">
        <v>250</v>
      </c>
      <c r="G65">
        <v>10000</v>
      </c>
      <c r="H65" t="s">
        <v>256</v>
      </c>
    </row>
    <row r="66" spans="1:9" x14ac:dyDescent="0.3">
      <c r="A66" t="s">
        <v>73</v>
      </c>
      <c r="B66" t="s">
        <v>232</v>
      </c>
      <c r="C66" t="s">
        <v>234</v>
      </c>
      <c r="D66" t="s">
        <v>248</v>
      </c>
      <c r="E66" s="2">
        <v>45008</v>
      </c>
      <c r="F66" t="s">
        <v>251</v>
      </c>
      <c r="G66">
        <v>12000</v>
      </c>
      <c r="H66" t="s">
        <v>256</v>
      </c>
    </row>
    <row r="67" spans="1:9" x14ac:dyDescent="0.3">
      <c r="A67" t="s">
        <v>74</v>
      </c>
      <c r="B67" t="s">
        <v>230</v>
      </c>
      <c r="C67" t="s">
        <v>240</v>
      </c>
      <c r="D67" t="s">
        <v>248</v>
      </c>
      <c r="E67" s="2">
        <v>45247</v>
      </c>
      <c r="F67" t="s">
        <v>249</v>
      </c>
      <c r="G67">
        <v>10000</v>
      </c>
      <c r="H67" t="s">
        <v>256</v>
      </c>
      <c r="I67">
        <v>1</v>
      </c>
    </row>
    <row r="68" spans="1:9" x14ac:dyDescent="0.3">
      <c r="A68" t="s">
        <v>75</v>
      </c>
      <c r="B68" t="s">
        <v>231</v>
      </c>
      <c r="C68" t="s">
        <v>235</v>
      </c>
      <c r="D68" t="s">
        <v>241</v>
      </c>
      <c r="E68" s="2">
        <v>45098</v>
      </c>
      <c r="F68" t="s">
        <v>250</v>
      </c>
      <c r="G68">
        <v>5000</v>
      </c>
      <c r="H68" t="s">
        <v>253</v>
      </c>
    </row>
    <row r="69" spans="1:9" x14ac:dyDescent="0.3">
      <c r="A69" t="s">
        <v>76</v>
      </c>
      <c r="B69" t="s">
        <v>230</v>
      </c>
      <c r="C69" t="s">
        <v>234</v>
      </c>
      <c r="D69" t="s">
        <v>246</v>
      </c>
      <c r="E69" s="2">
        <v>45288</v>
      </c>
      <c r="F69" t="s">
        <v>249</v>
      </c>
      <c r="G69">
        <v>5000</v>
      </c>
      <c r="H69" t="s">
        <v>256</v>
      </c>
      <c r="I69">
        <v>4</v>
      </c>
    </row>
    <row r="70" spans="1:9" x14ac:dyDescent="0.3">
      <c r="A70" t="s">
        <v>77</v>
      </c>
      <c r="B70" t="s">
        <v>232</v>
      </c>
      <c r="C70" t="s">
        <v>239</v>
      </c>
      <c r="D70" t="s">
        <v>243</v>
      </c>
      <c r="E70" s="2">
        <v>44958</v>
      </c>
      <c r="F70" t="s">
        <v>249</v>
      </c>
      <c r="G70">
        <v>12000</v>
      </c>
      <c r="H70" t="s">
        <v>256</v>
      </c>
      <c r="I70">
        <v>5</v>
      </c>
    </row>
    <row r="71" spans="1:9" x14ac:dyDescent="0.3">
      <c r="A71" t="s">
        <v>78</v>
      </c>
      <c r="B71" t="s">
        <v>225</v>
      </c>
      <c r="C71" t="s">
        <v>234</v>
      </c>
      <c r="D71" t="s">
        <v>248</v>
      </c>
      <c r="E71" s="2">
        <v>44930</v>
      </c>
      <c r="F71" t="s">
        <v>250</v>
      </c>
      <c r="G71">
        <v>10000</v>
      </c>
      <c r="H71" t="s">
        <v>256</v>
      </c>
    </row>
    <row r="72" spans="1:9" x14ac:dyDescent="0.3">
      <c r="A72" t="s">
        <v>79</v>
      </c>
      <c r="B72" t="s">
        <v>227</v>
      </c>
      <c r="C72" t="s">
        <v>235</v>
      </c>
      <c r="D72" t="s">
        <v>248</v>
      </c>
      <c r="E72" s="2">
        <v>45039</v>
      </c>
      <c r="F72" t="s">
        <v>250</v>
      </c>
      <c r="G72">
        <v>12000</v>
      </c>
      <c r="H72" t="s">
        <v>256</v>
      </c>
    </row>
    <row r="73" spans="1:9" x14ac:dyDescent="0.3">
      <c r="A73" t="s">
        <v>80</v>
      </c>
      <c r="B73" t="s">
        <v>227</v>
      </c>
      <c r="C73" t="s">
        <v>237</v>
      </c>
      <c r="D73" t="s">
        <v>243</v>
      </c>
      <c r="E73" s="2">
        <v>45011</v>
      </c>
      <c r="F73" t="s">
        <v>250</v>
      </c>
      <c r="G73">
        <v>7000</v>
      </c>
      <c r="H73" t="s">
        <v>255</v>
      </c>
    </row>
    <row r="74" spans="1:9" x14ac:dyDescent="0.3">
      <c r="A74" t="s">
        <v>81</v>
      </c>
      <c r="B74" t="s">
        <v>225</v>
      </c>
      <c r="C74" t="s">
        <v>234</v>
      </c>
      <c r="D74" t="s">
        <v>242</v>
      </c>
      <c r="E74" s="2">
        <v>44969</v>
      </c>
      <c r="F74" t="s">
        <v>251</v>
      </c>
      <c r="G74">
        <v>12000</v>
      </c>
      <c r="H74" t="s">
        <v>253</v>
      </c>
    </row>
    <row r="75" spans="1:9" x14ac:dyDescent="0.3">
      <c r="A75" t="s">
        <v>82</v>
      </c>
      <c r="B75" t="s">
        <v>228</v>
      </c>
      <c r="C75" t="s">
        <v>238</v>
      </c>
      <c r="D75" t="s">
        <v>242</v>
      </c>
      <c r="E75" s="2">
        <v>45060</v>
      </c>
      <c r="F75" t="s">
        <v>250</v>
      </c>
      <c r="G75">
        <v>10000</v>
      </c>
      <c r="H75" t="s">
        <v>253</v>
      </c>
    </row>
    <row r="76" spans="1:9" x14ac:dyDescent="0.3">
      <c r="A76" t="s">
        <v>83</v>
      </c>
      <c r="B76" t="s">
        <v>229</v>
      </c>
      <c r="C76" t="s">
        <v>237</v>
      </c>
      <c r="D76" t="s">
        <v>243</v>
      </c>
      <c r="E76" s="2">
        <v>45069</v>
      </c>
      <c r="F76" t="s">
        <v>250</v>
      </c>
      <c r="G76">
        <v>10000</v>
      </c>
      <c r="H76" t="s">
        <v>252</v>
      </c>
    </row>
    <row r="77" spans="1:9" x14ac:dyDescent="0.3">
      <c r="A77" t="s">
        <v>84</v>
      </c>
      <c r="B77" t="s">
        <v>225</v>
      </c>
      <c r="C77" t="s">
        <v>233</v>
      </c>
      <c r="D77" t="s">
        <v>244</v>
      </c>
      <c r="E77" s="2">
        <v>45041</v>
      </c>
      <c r="F77" t="s">
        <v>251</v>
      </c>
      <c r="G77">
        <v>5000</v>
      </c>
      <c r="H77" t="s">
        <v>252</v>
      </c>
    </row>
    <row r="78" spans="1:9" x14ac:dyDescent="0.3">
      <c r="A78" t="s">
        <v>85</v>
      </c>
      <c r="B78" t="s">
        <v>225</v>
      </c>
      <c r="C78" t="s">
        <v>235</v>
      </c>
      <c r="D78" t="s">
        <v>247</v>
      </c>
      <c r="E78" s="2">
        <v>44937</v>
      </c>
      <c r="F78" t="s">
        <v>251</v>
      </c>
      <c r="G78">
        <v>7000</v>
      </c>
      <c r="H78" t="s">
        <v>253</v>
      </c>
    </row>
    <row r="79" spans="1:9" x14ac:dyDescent="0.3">
      <c r="A79" t="s">
        <v>86</v>
      </c>
      <c r="B79" t="s">
        <v>228</v>
      </c>
      <c r="C79" t="s">
        <v>236</v>
      </c>
      <c r="D79" t="s">
        <v>247</v>
      </c>
      <c r="E79" s="2">
        <v>45165</v>
      </c>
      <c r="F79" t="s">
        <v>251</v>
      </c>
      <c r="G79">
        <v>10000</v>
      </c>
      <c r="H79" t="s">
        <v>254</v>
      </c>
    </row>
    <row r="80" spans="1:9" x14ac:dyDescent="0.3">
      <c r="A80" t="s">
        <v>87</v>
      </c>
      <c r="B80" t="s">
        <v>224</v>
      </c>
      <c r="C80" t="s">
        <v>236</v>
      </c>
      <c r="D80" t="s">
        <v>246</v>
      </c>
      <c r="E80" s="2">
        <v>45086</v>
      </c>
      <c r="F80" t="s">
        <v>249</v>
      </c>
      <c r="G80">
        <v>5000</v>
      </c>
      <c r="H80" t="s">
        <v>254</v>
      </c>
      <c r="I80">
        <v>5</v>
      </c>
    </row>
    <row r="81" spans="1:9" x14ac:dyDescent="0.3">
      <c r="A81" t="s">
        <v>88</v>
      </c>
      <c r="B81" t="s">
        <v>227</v>
      </c>
      <c r="C81" t="s">
        <v>234</v>
      </c>
      <c r="D81" t="s">
        <v>247</v>
      </c>
      <c r="E81" s="2">
        <v>44965</v>
      </c>
      <c r="F81" t="s">
        <v>251</v>
      </c>
      <c r="G81">
        <v>7000</v>
      </c>
      <c r="H81" t="s">
        <v>252</v>
      </c>
    </row>
    <row r="82" spans="1:9" x14ac:dyDescent="0.3">
      <c r="A82" t="s">
        <v>64</v>
      </c>
      <c r="B82" t="s">
        <v>231</v>
      </c>
      <c r="C82" t="s">
        <v>236</v>
      </c>
      <c r="D82" t="s">
        <v>242</v>
      </c>
      <c r="E82" s="2">
        <v>45104</v>
      </c>
      <c r="F82" t="s">
        <v>251</v>
      </c>
      <c r="G82">
        <v>12000</v>
      </c>
      <c r="H82" t="s">
        <v>254</v>
      </c>
    </row>
    <row r="83" spans="1:9" x14ac:dyDescent="0.3">
      <c r="A83" t="s">
        <v>89</v>
      </c>
      <c r="B83" t="s">
        <v>232</v>
      </c>
      <c r="C83" t="s">
        <v>237</v>
      </c>
      <c r="D83" t="s">
        <v>242</v>
      </c>
      <c r="E83" s="2">
        <v>45142</v>
      </c>
      <c r="F83" t="s">
        <v>250</v>
      </c>
      <c r="G83">
        <v>5000</v>
      </c>
      <c r="H83" t="s">
        <v>256</v>
      </c>
    </row>
    <row r="84" spans="1:9" x14ac:dyDescent="0.3">
      <c r="A84" t="s">
        <v>90</v>
      </c>
      <c r="B84" t="s">
        <v>229</v>
      </c>
      <c r="C84" t="s">
        <v>239</v>
      </c>
      <c r="D84" t="s">
        <v>246</v>
      </c>
      <c r="E84" s="2">
        <v>45149</v>
      </c>
      <c r="F84" t="s">
        <v>249</v>
      </c>
      <c r="G84">
        <v>10000</v>
      </c>
      <c r="H84" t="s">
        <v>255</v>
      </c>
      <c r="I84">
        <v>5</v>
      </c>
    </row>
    <row r="85" spans="1:9" x14ac:dyDescent="0.3">
      <c r="A85" t="s">
        <v>91</v>
      </c>
      <c r="B85" t="s">
        <v>228</v>
      </c>
      <c r="C85" t="s">
        <v>239</v>
      </c>
      <c r="D85" t="s">
        <v>243</v>
      </c>
      <c r="E85" s="2">
        <v>45230</v>
      </c>
      <c r="F85" t="s">
        <v>250</v>
      </c>
      <c r="G85">
        <v>10000</v>
      </c>
      <c r="H85" t="s">
        <v>253</v>
      </c>
    </row>
    <row r="86" spans="1:9" x14ac:dyDescent="0.3">
      <c r="A86" t="s">
        <v>92</v>
      </c>
      <c r="B86" t="s">
        <v>223</v>
      </c>
      <c r="C86" t="s">
        <v>240</v>
      </c>
      <c r="D86" t="s">
        <v>248</v>
      </c>
      <c r="E86" s="2">
        <v>45051</v>
      </c>
      <c r="F86" t="s">
        <v>250</v>
      </c>
      <c r="G86">
        <v>12000</v>
      </c>
      <c r="H86" t="s">
        <v>254</v>
      </c>
    </row>
    <row r="87" spans="1:9" x14ac:dyDescent="0.3">
      <c r="A87" t="s">
        <v>80</v>
      </c>
      <c r="B87" t="s">
        <v>228</v>
      </c>
      <c r="C87" t="s">
        <v>237</v>
      </c>
      <c r="D87" t="s">
        <v>246</v>
      </c>
      <c r="E87" s="2">
        <v>45176</v>
      </c>
      <c r="F87" t="s">
        <v>249</v>
      </c>
      <c r="G87">
        <v>10000</v>
      </c>
      <c r="H87" t="s">
        <v>254</v>
      </c>
      <c r="I87">
        <v>3</v>
      </c>
    </row>
    <row r="88" spans="1:9" x14ac:dyDescent="0.3">
      <c r="A88" t="s">
        <v>93</v>
      </c>
      <c r="B88" t="s">
        <v>224</v>
      </c>
      <c r="C88" t="s">
        <v>240</v>
      </c>
      <c r="D88" t="s">
        <v>242</v>
      </c>
      <c r="E88" s="2">
        <v>45191</v>
      </c>
      <c r="F88" t="s">
        <v>249</v>
      </c>
      <c r="G88">
        <v>5000</v>
      </c>
      <c r="H88" t="s">
        <v>253</v>
      </c>
      <c r="I88">
        <v>4</v>
      </c>
    </row>
    <row r="89" spans="1:9" x14ac:dyDescent="0.3">
      <c r="A89" t="s">
        <v>94</v>
      </c>
      <c r="B89" t="s">
        <v>232</v>
      </c>
      <c r="C89" t="s">
        <v>235</v>
      </c>
      <c r="D89" t="s">
        <v>248</v>
      </c>
      <c r="E89" s="2">
        <v>45257</v>
      </c>
      <c r="F89" t="s">
        <v>251</v>
      </c>
      <c r="G89">
        <v>12000</v>
      </c>
      <c r="H89" t="s">
        <v>256</v>
      </c>
    </row>
    <row r="90" spans="1:9" x14ac:dyDescent="0.3">
      <c r="A90" t="s">
        <v>95</v>
      </c>
      <c r="B90" t="s">
        <v>225</v>
      </c>
      <c r="C90" t="s">
        <v>236</v>
      </c>
      <c r="D90" t="s">
        <v>241</v>
      </c>
      <c r="E90" s="2">
        <v>45040</v>
      </c>
      <c r="F90" t="s">
        <v>250</v>
      </c>
      <c r="G90">
        <v>7000</v>
      </c>
      <c r="H90" t="s">
        <v>254</v>
      </c>
    </row>
    <row r="91" spans="1:9" x14ac:dyDescent="0.3">
      <c r="A91" t="s">
        <v>63</v>
      </c>
      <c r="B91" t="s">
        <v>224</v>
      </c>
      <c r="C91" t="s">
        <v>237</v>
      </c>
      <c r="D91" t="s">
        <v>248</v>
      </c>
      <c r="E91" s="2">
        <v>45210</v>
      </c>
      <c r="F91" t="s">
        <v>251</v>
      </c>
      <c r="G91">
        <v>10000</v>
      </c>
      <c r="H91" t="s">
        <v>256</v>
      </c>
    </row>
    <row r="92" spans="1:9" x14ac:dyDescent="0.3">
      <c r="A92" t="s">
        <v>96</v>
      </c>
      <c r="B92" t="s">
        <v>232</v>
      </c>
      <c r="C92" t="s">
        <v>237</v>
      </c>
      <c r="D92" t="s">
        <v>244</v>
      </c>
      <c r="E92" s="2">
        <v>45286</v>
      </c>
      <c r="F92" t="s">
        <v>250</v>
      </c>
      <c r="G92">
        <v>10000</v>
      </c>
      <c r="H92" t="s">
        <v>254</v>
      </c>
    </row>
    <row r="93" spans="1:9" x14ac:dyDescent="0.3">
      <c r="A93" t="s">
        <v>97</v>
      </c>
      <c r="B93" t="s">
        <v>230</v>
      </c>
      <c r="C93" t="s">
        <v>236</v>
      </c>
      <c r="D93" t="s">
        <v>247</v>
      </c>
      <c r="E93" s="2">
        <v>45088</v>
      </c>
      <c r="F93" t="s">
        <v>249</v>
      </c>
      <c r="G93">
        <v>7000</v>
      </c>
      <c r="H93" t="s">
        <v>253</v>
      </c>
      <c r="I93">
        <v>2</v>
      </c>
    </row>
    <row r="94" spans="1:9" x14ac:dyDescent="0.3">
      <c r="A94" t="s">
        <v>98</v>
      </c>
      <c r="B94" t="s">
        <v>228</v>
      </c>
      <c r="C94" t="s">
        <v>240</v>
      </c>
      <c r="D94" t="s">
        <v>241</v>
      </c>
      <c r="E94" s="2">
        <v>44978</v>
      </c>
      <c r="F94" t="s">
        <v>249</v>
      </c>
      <c r="G94">
        <v>10000</v>
      </c>
      <c r="H94" t="s">
        <v>253</v>
      </c>
      <c r="I94">
        <v>3</v>
      </c>
    </row>
    <row r="95" spans="1:9" x14ac:dyDescent="0.3">
      <c r="A95" t="s">
        <v>99</v>
      </c>
      <c r="B95" t="s">
        <v>231</v>
      </c>
      <c r="C95" t="s">
        <v>233</v>
      </c>
      <c r="D95" t="s">
        <v>246</v>
      </c>
      <c r="E95" s="2">
        <v>45067</v>
      </c>
      <c r="F95" t="s">
        <v>249</v>
      </c>
      <c r="G95">
        <v>5000</v>
      </c>
      <c r="H95" t="s">
        <v>255</v>
      </c>
      <c r="I95">
        <v>3</v>
      </c>
    </row>
    <row r="96" spans="1:9" x14ac:dyDescent="0.3">
      <c r="A96" t="s">
        <v>100</v>
      </c>
      <c r="B96" t="s">
        <v>226</v>
      </c>
      <c r="C96" t="s">
        <v>239</v>
      </c>
      <c r="D96" t="s">
        <v>245</v>
      </c>
      <c r="E96" s="2">
        <v>44933</v>
      </c>
      <c r="F96" t="s">
        <v>251</v>
      </c>
      <c r="G96">
        <v>10000</v>
      </c>
      <c r="H96" t="s">
        <v>256</v>
      </c>
    </row>
    <row r="97" spans="1:9" x14ac:dyDescent="0.3">
      <c r="A97" t="s">
        <v>101</v>
      </c>
      <c r="B97" t="s">
        <v>228</v>
      </c>
      <c r="C97" t="s">
        <v>237</v>
      </c>
      <c r="D97" t="s">
        <v>246</v>
      </c>
      <c r="E97" s="2">
        <v>44953</v>
      </c>
      <c r="F97" t="s">
        <v>250</v>
      </c>
      <c r="G97">
        <v>12000</v>
      </c>
      <c r="H97" t="s">
        <v>252</v>
      </c>
    </row>
    <row r="98" spans="1:9" x14ac:dyDescent="0.3">
      <c r="A98" t="s">
        <v>102</v>
      </c>
      <c r="B98" t="s">
        <v>223</v>
      </c>
      <c r="C98" t="s">
        <v>234</v>
      </c>
      <c r="D98" t="s">
        <v>248</v>
      </c>
      <c r="E98" s="2">
        <v>44964</v>
      </c>
      <c r="F98" t="s">
        <v>251</v>
      </c>
      <c r="G98">
        <v>5000</v>
      </c>
      <c r="H98" t="s">
        <v>253</v>
      </c>
    </row>
    <row r="99" spans="1:9" x14ac:dyDescent="0.3">
      <c r="A99" t="s">
        <v>103</v>
      </c>
      <c r="B99" t="s">
        <v>224</v>
      </c>
      <c r="C99" t="s">
        <v>240</v>
      </c>
      <c r="D99" t="s">
        <v>245</v>
      </c>
      <c r="E99" s="2">
        <v>45054</v>
      </c>
      <c r="F99" t="s">
        <v>249</v>
      </c>
      <c r="G99">
        <v>12000</v>
      </c>
      <c r="H99" t="s">
        <v>255</v>
      </c>
      <c r="I99">
        <v>5</v>
      </c>
    </row>
    <row r="100" spans="1:9" x14ac:dyDescent="0.3">
      <c r="A100" t="s">
        <v>104</v>
      </c>
      <c r="B100" t="s">
        <v>224</v>
      </c>
      <c r="C100" t="s">
        <v>235</v>
      </c>
      <c r="D100" t="s">
        <v>243</v>
      </c>
      <c r="E100" s="2">
        <v>45157</v>
      </c>
      <c r="F100" t="s">
        <v>250</v>
      </c>
      <c r="G100">
        <v>10000</v>
      </c>
      <c r="H100" t="s">
        <v>255</v>
      </c>
    </row>
    <row r="101" spans="1:9" x14ac:dyDescent="0.3">
      <c r="A101" t="s">
        <v>105</v>
      </c>
      <c r="B101" t="s">
        <v>231</v>
      </c>
      <c r="C101" t="s">
        <v>233</v>
      </c>
      <c r="D101" t="s">
        <v>245</v>
      </c>
      <c r="E101" s="2">
        <v>45033</v>
      </c>
      <c r="F101" t="s">
        <v>251</v>
      </c>
      <c r="G101">
        <v>7000</v>
      </c>
      <c r="H101" t="s">
        <v>254</v>
      </c>
    </row>
    <row r="102" spans="1:9" x14ac:dyDescent="0.3">
      <c r="A102" t="s">
        <v>106</v>
      </c>
      <c r="B102" t="s">
        <v>223</v>
      </c>
      <c r="C102" t="s">
        <v>238</v>
      </c>
      <c r="D102" t="s">
        <v>247</v>
      </c>
      <c r="E102" s="2">
        <v>45015</v>
      </c>
      <c r="F102" t="s">
        <v>251</v>
      </c>
      <c r="G102">
        <v>5000</v>
      </c>
      <c r="H102" t="s">
        <v>253</v>
      </c>
    </row>
    <row r="103" spans="1:9" x14ac:dyDescent="0.3">
      <c r="A103" t="s">
        <v>107</v>
      </c>
      <c r="B103" t="s">
        <v>227</v>
      </c>
      <c r="C103" t="s">
        <v>239</v>
      </c>
      <c r="D103" t="s">
        <v>248</v>
      </c>
      <c r="E103" s="2">
        <v>45076</v>
      </c>
      <c r="F103" t="s">
        <v>249</v>
      </c>
      <c r="G103">
        <v>7000</v>
      </c>
      <c r="H103" t="s">
        <v>254</v>
      </c>
      <c r="I103">
        <v>3</v>
      </c>
    </row>
    <row r="104" spans="1:9" x14ac:dyDescent="0.3">
      <c r="A104" t="s">
        <v>108</v>
      </c>
      <c r="B104" t="s">
        <v>228</v>
      </c>
      <c r="C104" t="s">
        <v>236</v>
      </c>
      <c r="D104" t="s">
        <v>247</v>
      </c>
      <c r="E104" s="2">
        <v>45062</v>
      </c>
      <c r="F104" t="s">
        <v>251</v>
      </c>
      <c r="G104">
        <v>7000</v>
      </c>
      <c r="H104" t="s">
        <v>256</v>
      </c>
    </row>
    <row r="105" spans="1:9" x14ac:dyDescent="0.3">
      <c r="A105" t="s">
        <v>109</v>
      </c>
      <c r="B105" t="s">
        <v>232</v>
      </c>
      <c r="C105" t="s">
        <v>235</v>
      </c>
      <c r="D105" t="s">
        <v>246</v>
      </c>
      <c r="E105" s="2">
        <v>45063</v>
      </c>
      <c r="F105" t="s">
        <v>249</v>
      </c>
      <c r="G105">
        <v>5000</v>
      </c>
      <c r="H105" t="s">
        <v>252</v>
      </c>
      <c r="I105">
        <v>2</v>
      </c>
    </row>
    <row r="106" spans="1:9" x14ac:dyDescent="0.3">
      <c r="A106" t="s">
        <v>95</v>
      </c>
      <c r="B106" t="s">
        <v>231</v>
      </c>
      <c r="C106" t="s">
        <v>240</v>
      </c>
      <c r="D106" t="s">
        <v>248</v>
      </c>
      <c r="E106" s="2">
        <v>44990</v>
      </c>
      <c r="F106" t="s">
        <v>250</v>
      </c>
      <c r="G106">
        <v>10000</v>
      </c>
      <c r="H106" t="s">
        <v>256</v>
      </c>
    </row>
    <row r="107" spans="1:9" x14ac:dyDescent="0.3">
      <c r="A107" t="s">
        <v>110</v>
      </c>
      <c r="B107" t="s">
        <v>231</v>
      </c>
      <c r="C107" t="s">
        <v>239</v>
      </c>
      <c r="D107" t="s">
        <v>248</v>
      </c>
      <c r="E107" s="2">
        <v>44968</v>
      </c>
      <c r="F107" t="s">
        <v>251</v>
      </c>
      <c r="G107">
        <v>5000</v>
      </c>
      <c r="H107" t="s">
        <v>256</v>
      </c>
    </row>
    <row r="108" spans="1:9" x14ac:dyDescent="0.3">
      <c r="A108" t="s">
        <v>111</v>
      </c>
      <c r="B108" t="s">
        <v>229</v>
      </c>
      <c r="C108" t="s">
        <v>240</v>
      </c>
      <c r="D108" t="s">
        <v>242</v>
      </c>
      <c r="E108" s="2">
        <v>44973</v>
      </c>
      <c r="F108" t="s">
        <v>249</v>
      </c>
      <c r="G108">
        <v>5000</v>
      </c>
      <c r="H108" t="s">
        <v>254</v>
      </c>
      <c r="I108">
        <v>5</v>
      </c>
    </row>
    <row r="109" spans="1:9" x14ac:dyDescent="0.3">
      <c r="A109" t="s">
        <v>112</v>
      </c>
      <c r="B109" t="s">
        <v>226</v>
      </c>
      <c r="C109" t="s">
        <v>239</v>
      </c>
      <c r="D109" t="s">
        <v>248</v>
      </c>
      <c r="E109" s="2">
        <v>45069</v>
      </c>
      <c r="F109" t="s">
        <v>249</v>
      </c>
      <c r="G109">
        <v>12000</v>
      </c>
      <c r="H109" t="s">
        <v>256</v>
      </c>
      <c r="I109">
        <v>1</v>
      </c>
    </row>
    <row r="110" spans="1:9" x14ac:dyDescent="0.3">
      <c r="A110" t="s">
        <v>84</v>
      </c>
      <c r="B110" t="s">
        <v>229</v>
      </c>
      <c r="C110" t="s">
        <v>234</v>
      </c>
      <c r="D110" t="s">
        <v>244</v>
      </c>
      <c r="E110" s="2">
        <v>45091</v>
      </c>
      <c r="F110" t="s">
        <v>251</v>
      </c>
      <c r="G110">
        <v>5000</v>
      </c>
      <c r="H110" t="s">
        <v>253</v>
      </c>
    </row>
    <row r="111" spans="1:9" x14ac:dyDescent="0.3">
      <c r="A111" t="s">
        <v>113</v>
      </c>
      <c r="B111" t="s">
        <v>227</v>
      </c>
      <c r="C111" t="s">
        <v>239</v>
      </c>
      <c r="D111" t="s">
        <v>241</v>
      </c>
      <c r="E111" s="2">
        <v>45266</v>
      </c>
      <c r="F111" t="s">
        <v>250</v>
      </c>
      <c r="G111">
        <v>5000</v>
      </c>
      <c r="H111" t="s">
        <v>256</v>
      </c>
    </row>
    <row r="112" spans="1:9" x14ac:dyDescent="0.3">
      <c r="A112" t="s">
        <v>114</v>
      </c>
      <c r="B112" t="s">
        <v>229</v>
      </c>
      <c r="C112" t="s">
        <v>240</v>
      </c>
      <c r="D112" t="s">
        <v>244</v>
      </c>
      <c r="E112" s="2">
        <v>44986</v>
      </c>
      <c r="F112" t="s">
        <v>250</v>
      </c>
      <c r="G112">
        <v>5000</v>
      </c>
      <c r="H112" t="s">
        <v>255</v>
      </c>
    </row>
    <row r="113" spans="1:9" x14ac:dyDescent="0.3">
      <c r="A113" t="s">
        <v>115</v>
      </c>
      <c r="B113" t="s">
        <v>227</v>
      </c>
      <c r="C113" t="s">
        <v>233</v>
      </c>
      <c r="D113" t="s">
        <v>247</v>
      </c>
      <c r="E113" s="2">
        <v>45192</v>
      </c>
      <c r="F113" t="s">
        <v>250</v>
      </c>
      <c r="G113">
        <v>12000</v>
      </c>
      <c r="H113" t="s">
        <v>256</v>
      </c>
    </row>
    <row r="114" spans="1:9" x14ac:dyDescent="0.3">
      <c r="A114" t="s">
        <v>29</v>
      </c>
      <c r="B114" t="s">
        <v>225</v>
      </c>
      <c r="C114" t="s">
        <v>235</v>
      </c>
      <c r="D114" t="s">
        <v>241</v>
      </c>
      <c r="E114" s="2">
        <v>45208</v>
      </c>
      <c r="F114" t="s">
        <v>249</v>
      </c>
      <c r="G114">
        <v>10000</v>
      </c>
      <c r="H114" t="s">
        <v>256</v>
      </c>
      <c r="I114">
        <v>4</v>
      </c>
    </row>
    <row r="115" spans="1:9" x14ac:dyDescent="0.3">
      <c r="A115" t="s">
        <v>116</v>
      </c>
      <c r="B115" t="s">
        <v>225</v>
      </c>
      <c r="C115" t="s">
        <v>235</v>
      </c>
      <c r="D115" t="s">
        <v>246</v>
      </c>
      <c r="E115" s="2">
        <v>45086</v>
      </c>
      <c r="F115" t="s">
        <v>251</v>
      </c>
      <c r="G115">
        <v>5000</v>
      </c>
      <c r="H115" t="s">
        <v>255</v>
      </c>
    </row>
    <row r="116" spans="1:9" x14ac:dyDescent="0.3">
      <c r="A116" t="s">
        <v>117</v>
      </c>
      <c r="B116" t="s">
        <v>223</v>
      </c>
      <c r="C116" t="s">
        <v>235</v>
      </c>
      <c r="D116" t="s">
        <v>245</v>
      </c>
      <c r="E116" s="2">
        <v>45163</v>
      </c>
      <c r="F116" t="s">
        <v>249</v>
      </c>
      <c r="G116">
        <v>7000</v>
      </c>
      <c r="H116" t="s">
        <v>256</v>
      </c>
      <c r="I116">
        <v>3</v>
      </c>
    </row>
    <row r="117" spans="1:9" x14ac:dyDescent="0.3">
      <c r="A117" t="s">
        <v>118</v>
      </c>
      <c r="B117" t="s">
        <v>231</v>
      </c>
      <c r="C117" t="s">
        <v>234</v>
      </c>
      <c r="D117" t="s">
        <v>248</v>
      </c>
      <c r="E117" s="2">
        <v>45168</v>
      </c>
      <c r="F117" t="s">
        <v>249</v>
      </c>
      <c r="G117">
        <v>12000</v>
      </c>
      <c r="H117" t="s">
        <v>255</v>
      </c>
      <c r="I117">
        <v>2</v>
      </c>
    </row>
    <row r="118" spans="1:9" x14ac:dyDescent="0.3">
      <c r="A118" t="s">
        <v>119</v>
      </c>
      <c r="B118" t="s">
        <v>230</v>
      </c>
      <c r="C118" t="s">
        <v>238</v>
      </c>
      <c r="D118" t="s">
        <v>245</v>
      </c>
      <c r="E118" s="2">
        <v>45068</v>
      </c>
      <c r="F118" t="s">
        <v>250</v>
      </c>
      <c r="G118">
        <v>10000</v>
      </c>
      <c r="H118" t="s">
        <v>255</v>
      </c>
    </row>
    <row r="119" spans="1:9" x14ac:dyDescent="0.3">
      <c r="A119" t="s">
        <v>120</v>
      </c>
      <c r="B119" t="s">
        <v>225</v>
      </c>
      <c r="C119" t="s">
        <v>240</v>
      </c>
      <c r="D119" t="s">
        <v>241</v>
      </c>
      <c r="E119" s="2">
        <v>45227</v>
      </c>
      <c r="F119" t="s">
        <v>251</v>
      </c>
      <c r="G119">
        <v>12000</v>
      </c>
      <c r="H119" t="s">
        <v>253</v>
      </c>
    </row>
    <row r="120" spans="1:9" x14ac:dyDescent="0.3">
      <c r="A120" t="s">
        <v>121</v>
      </c>
      <c r="B120" t="s">
        <v>232</v>
      </c>
      <c r="C120" t="s">
        <v>239</v>
      </c>
      <c r="D120" t="s">
        <v>244</v>
      </c>
      <c r="E120" s="2">
        <v>45097</v>
      </c>
      <c r="F120" t="s">
        <v>251</v>
      </c>
      <c r="G120">
        <v>12000</v>
      </c>
      <c r="H120" t="s">
        <v>256</v>
      </c>
    </row>
    <row r="121" spans="1:9" x14ac:dyDescent="0.3">
      <c r="A121" t="s">
        <v>122</v>
      </c>
      <c r="B121" t="s">
        <v>229</v>
      </c>
      <c r="C121" t="s">
        <v>235</v>
      </c>
      <c r="D121" t="s">
        <v>247</v>
      </c>
      <c r="E121" s="2">
        <v>45219</v>
      </c>
      <c r="F121" t="s">
        <v>250</v>
      </c>
      <c r="G121">
        <v>7000</v>
      </c>
      <c r="H121" t="s">
        <v>256</v>
      </c>
    </row>
    <row r="122" spans="1:9" x14ac:dyDescent="0.3">
      <c r="A122" t="s">
        <v>123</v>
      </c>
      <c r="B122" t="s">
        <v>229</v>
      </c>
      <c r="C122" t="s">
        <v>239</v>
      </c>
      <c r="D122" t="s">
        <v>243</v>
      </c>
      <c r="E122" s="2">
        <v>45124</v>
      </c>
      <c r="F122" t="s">
        <v>251</v>
      </c>
      <c r="G122">
        <v>7000</v>
      </c>
      <c r="H122" t="s">
        <v>256</v>
      </c>
    </row>
    <row r="123" spans="1:9" x14ac:dyDescent="0.3">
      <c r="A123" t="s">
        <v>124</v>
      </c>
      <c r="B123" t="s">
        <v>225</v>
      </c>
      <c r="C123" t="s">
        <v>238</v>
      </c>
      <c r="D123" t="s">
        <v>244</v>
      </c>
      <c r="E123" s="2">
        <v>44978</v>
      </c>
      <c r="F123" t="s">
        <v>250</v>
      </c>
      <c r="G123">
        <v>5000</v>
      </c>
      <c r="H123" t="s">
        <v>255</v>
      </c>
    </row>
    <row r="124" spans="1:9" x14ac:dyDescent="0.3">
      <c r="A124" t="s">
        <v>125</v>
      </c>
      <c r="B124" t="s">
        <v>228</v>
      </c>
      <c r="C124" t="s">
        <v>233</v>
      </c>
      <c r="D124" t="s">
        <v>246</v>
      </c>
      <c r="E124" s="2">
        <v>45136</v>
      </c>
      <c r="F124" t="s">
        <v>251</v>
      </c>
      <c r="G124">
        <v>7000</v>
      </c>
      <c r="H124" t="s">
        <v>252</v>
      </c>
    </row>
    <row r="125" spans="1:9" x14ac:dyDescent="0.3">
      <c r="A125" t="s">
        <v>126</v>
      </c>
      <c r="B125" t="s">
        <v>231</v>
      </c>
      <c r="C125" t="s">
        <v>237</v>
      </c>
      <c r="D125" t="s">
        <v>243</v>
      </c>
      <c r="E125" s="2">
        <v>45259</v>
      </c>
      <c r="F125" t="s">
        <v>249</v>
      </c>
      <c r="G125">
        <v>10000</v>
      </c>
      <c r="H125" t="s">
        <v>255</v>
      </c>
      <c r="I125">
        <v>4</v>
      </c>
    </row>
    <row r="126" spans="1:9" x14ac:dyDescent="0.3">
      <c r="A126" t="s">
        <v>127</v>
      </c>
      <c r="B126" t="s">
        <v>229</v>
      </c>
      <c r="C126" t="s">
        <v>239</v>
      </c>
      <c r="D126" t="s">
        <v>242</v>
      </c>
      <c r="E126" s="2">
        <v>45243</v>
      </c>
      <c r="F126" t="s">
        <v>249</v>
      </c>
      <c r="G126">
        <v>7000</v>
      </c>
      <c r="H126" t="s">
        <v>254</v>
      </c>
      <c r="I126">
        <v>2</v>
      </c>
    </row>
    <row r="127" spans="1:9" x14ac:dyDescent="0.3">
      <c r="A127" t="s">
        <v>128</v>
      </c>
      <c r="B127" t="s">
        <v>223</v>
      </c>
      <c r="C127" t="s">
        <v>234</v>
      </c>
      <c r="D127" t="s">
        <v>245</v>
      </c>
      <c r="E127" s="2">
        <v>45251</v>
      </c>
      <c r="F127" t="s">
        <v>251</v>
      </c>
      <c r="G127">
        <v>5000</v>
      </c>
      <c r="H127" t="s">
        <v>256</v>
      </c>
    </row>
    <row r="128" spans="1:9" x14ac:dyDescent="0.3">
      <c r="A128" t="s">
        <v>129</v>
      </c>
      <c r="B128" t="s">
        <v>231</v>
      </c>
      <c r="C128" t="s">
        <v>233</v>
      </c>
      <c r="D128" t="s">
        <v>242</v>
      </c>
      <c r="E128" s="2">
        <v>45093</v>
      </c>
      <c r="F128" t="s">
        <v>249</v>
      </c>
      <c r="G128">
        <v>10000</v>
      </c>
      <c r="H128" t="s">
        <v>254</v>
      </c>
      <c r="I128">
        <v>3</v>
      </c>
    </row>
    <row r="129" spans="1:9" x14ac:dyDescent="0.3">
      <c r="A129" t="s">
        <v>130</v>
      </c>
      <c r="B129" t="s">
        <v>226</v>
      </c>
      <c r="C129" t="s">
        <v>235</v>
      </c>
      <c r="D129" t="s">
        <v>243</v>
      </c>
      <c r="E129" s="2">
        <v>45216</v>
      </c>
      <c r="F129" t="s">
        <v>251</v>
      </c>
      <c r="G129">
        <v>7000</v>
      </c>
      <c r="H129" t="s">
        <v>253</v>
      </c>
    </row>
    <row r="130" spans="1:9" x14ac:dyDescent="0.3">
      <c r="A130" t="s">
        <v>131</v>
      </c>
      <c r="B130" t="s">
        <v>223</v>
      </c>
      <c r="C130" t="s">
        <v>234</v>
      </c>
      <c r="D130" t="s">
        <v>247</v>
      </c>
      <c r="E130" s="2">
        <v>45181</v>
      </c>
      <c r="F130" t="s">
        <v>251</v>
      </c>
      <c r="G130">
        <v>7000</v>
      </c>
      <c r="H130" t="s">
        <v>253</v>
      </c>
    </row>
    <row r="131" spans="1:9" x14ac:dyDescent="0.3">
      <c r="A131" t="s">
        <v>132</v>
      </c>
      <c r="B131" t="s">
        <v>231</v>
      </c>
      <c r="C131" t="s">
        <v>239</v>
      </c>
      <c r="D131" t="s">
        <v>241</v>
      </c>
      <c r="E131" s="2">
        <v>45268</v>
      </c>
      <c r="F131" t="s">
        <v>249</v>
      </c>
      <c r="G131">
        <v>12000</v>
      </c>
      <c r="H131" t="s">
        <v>254</v>
      </c>
      <c r="I131">
        <v>5</v>
      </c>
    </row>
    <row r="132" spans="1:9" x14ac:dyDescent="0.3">
      <c r="A132" t="s">
        <v>42</v>
      </c>
      <c r="B132" t="s">
        <v>223</v>
      </c>
      <c r="C132" t="s">
        <v>239</v>
      </c>
      <c r="D132" t="s">
        <v>244</v>
      </c>
      <c r="E132" s="2">
        <v>45227</v>
      </c>
      <c r="F132" t="s">
        <v>250</v>
      </c>
      <c r="G132">
        <v>12000</v>
      </c>
      <c r="H132" t="s">
        <v>254</v>
      </c>
    </row>
    <row r="133" spans="1:9" x14ac:dyDescent="0.3">
      <c r="A133" t="s">
        <v>133</v>
      </c>
      <c r="B133" t="s">
        <v>231</v>
      </c>
      <c r="C133" t="s">
        <v>235</v>
      </c>
      <c r="D133" t="s">
        <v>243</v>
      </c>
      <c r="E133" s="2">
        <v>45174</v>
      </c>
      <c r="F133" t="s">
        <v>249</v>
      </c>
      <c r="G133">
        <v>7000</v>
      </c>
      <c r="H133" t="s">
        <v>256</v>
      </c>
      <c r="I133">
        <v>5</v>
      </c>
    </row>
    <row r="134" spans="1:9" x14ac:dyDescent="0.3">
      <c r="A134" t="s">
        <v>134</v>
      </c>
      <c r="B134" t="s">
        <v>224</v>
      </c>
      <c r="C134" t="s">
        <v>240</v>
      </c>
      <c r="D134" t="s">
        <v>241</v>
      </c>
      <c r="E134" s="2">
        <v>44938</v>
      </c>
      <c r="F134" t="s">
        <v>251</v>
      </c>
      <c r="G134">
        <v>12000</v>
      </c>
      <c r="H134" t="s">
        <v>254</v>
      </c>
    </row>
    <row r="135" spans="1:9" x14ac:dyDescent="0.3">
      <c r="A135" t="s">
        <v>135</v>
      </c>
      <c r="B135" t="s">
        <v>224</v>
      </c>
      <c r="C135" t="s">
        <v>233</v>
      </c>
      <c r="D135" t="s">
        <v>248</v>
      </c>
      <c r="E135" s="2">
        <v>45073</v>
      </c>
      <c r="F135" t="s">
        <v>249</v>
      </c>
      <c r="G135">
        <v>10000</v>
      </c>
      <c r="H135" t="s">
        <v>253</v>
      </c>
      <c r="I135">
        <v>2</v>
      </c>
    </row>
    <row r="136" spans="1:9" x14ac:dyDescent="0.3">
      <c r="A136" t="s">
        <v>136</v>
      </c>
      <c r="B136" t="s">
        <v>231</v>
      </c>
      <c r="C136" t="s">
        <v>238</v>
      </c>
      <c r="D136" t="s">
        <v>245</v>
      </c>
      <c r="E136" s="2">
        <v>45248</v>
      </c>
      <c r="F136" t="s">
        <v>251</v>
      </c>
      <c r="G136">
        <v>5000</v>
      </c>
      <c r="H136" t="s">
        <v>254</v>
      </c>
    </row>
    <row r="137" spans="1:9" x14ac:dyDescent="0.3">
      <c r="A137" t="s">
        <v>137</v>
      </c>
      <c r="B137" t="s">
        <v>228</v>
      </c>
      <c r="C137" t="s">
        <v>233</v>
      </c>
      <c r="D137" t="s">
        <v>244</v>
      </c>
      <c r="E137" s="2">
        <v>44994</v>
      </c>
      <c r="F137" t="s">
        <v>249</v>
      </c>
      <c r="G137">
        <v>10000</v>
      </c>
      <c r="H137" t="s">
        <v>254</v>
      </c>
      <c r="I137">
        <v>4</v>
      </c>
    </row>
    <row r="138" spans="1:9" x14ac:dyDescent="0.3">
      <c r="A138" t="s">
        <v>131</v>
      </c>
      <c r="B138" t="s">
        <v>230</v>
      </c>
      <c r="C138" t="s">
        <v>238</v>
      </c>
      <c r="D138" t="s">
        <v>244</v>
      </c>
      <c r="E138" s="2">
        <v>45198</v>
      </c>
      <c r="F138" t="s">
        <v>251</v>
      </c>
      <c r="G138">
        <v>10000</v>
      </c>
      <c r="H138" t="s">
        <v>253</v>
      </c>
    </row>
    <row r="139" spans="1:9" x14ac:dyDescent="0.3">
      <c r="A139" t="s">
        <v>138</v>
      </c>
      <c r="B139" t="s">
        <v>228</v>
      </c>
      <c r="C139" t="s">
        <v>240</v>
      </c>
      <c r="D139" t="s">
        <v>244</v>
      </c>
      <c r="E139" s="2">
        <v>44985</v>
      </c>
      <c r="F139" t="s">
        <v>250</v>
      </c>
      <c r="G139">
        <v>5000</v>
      </c>
      <c r="H139" t="s">
        <v>253</v>
      </c>
    </row>
    <row r="140" spans="1:9" x14ac:dyDescent="0.3">
      <c r="A140" t="s">
        <v>85</v>
      </c>
      <c r="B140" t="s">
        <v>230</v>
      </c>
      <c r="C140" t="s">
        <v>234</v>
      </c>
      <c r="D140" t="s">
        <v>244</v>
      </c>
      <c r="E140" s="2">
        <v>44973</v>
      </c>
      <c r="F140" t="s">
        <v>250</v>
      </c>
      <c r="G140">
        <v>5000</v>
      </c>
      <c r="H140" t="s">
        <v>254</v>
      </c>
    </row>
    <row r="141" spans="1:9" x14ac:dyDescent="0.3">
      <c r="A141" t="s">
        <v>139</v>
      </c>
      <c r="B141" t="s">
        <v>223</v>
      </c>
      <c r="C141" t="s">
        <v>239</v>
      </c>
      <c r="D141" t="s">
        <v>244</v>
      </c>
      <c r="E141" s="2">
        <v>45271</v>
      </c>
      <c r="F141" t="s">
        <v>251</v>
      </c>
      <c r="G141">
        <v>10000</v>
      </c>
      <c r="H141" t="s">
        <v>255</v>
      </c>
    </row>
    <row r="142" spans="1:9" x14ac:dyDescent="0.3">
      <c r="A142" t="s">
        <v>24</v>
      </c>
      <c r="B142" t="s">
        <v>229</v>
      </c>
      <c r="C142" t="s">
        <v>236</v>
      </c>
      <c r="D142" t="s">
        <v>247</v>
      </c>
      <c r="E142" s="2">
        <v>45168</v>
      </c>
      <c r="F142" t="s">
        <v>249</v>
      </c>
      <c r="G142">
        <v>10000</v>
      </c>
      <c r="H142" t="s">
        <v>255</v>
      </c>
      <c r="I142">
        <v>2</v>
      </c>
    </row>
    <row r="143" spans="1:9" x14ac:dyDescent="0.3">
      <c r="A143" t="s">
        <v>140</v>
      </c>
      <c r="B143" t="s">
        <v>223</v>
      </c>
      <c r="C143" t="s">
        <v>239</v>
      </c>
      <c r="D143" t="s">
        <v>241</v>
      </c>
      <c r="E143" s="2">
        <v>45259</v>
      </c>
      <c r="F143" t="s">
        <v>250</v>
      </c>
      <c r="G143">
        <v>5000</v>
      </c>
      <c r="H143" t="s">
        <v>253</v>
      </c>
    </row>
    <row r="144" spans="1:9" x14ac:dyDescent="0.3">
      <c r="A144" t="s">
        <v>141</v>
      </c>
      <c r="B144" t="s">
        <v>225</v>
      </c>
      <c r="C144" t="s">
        <v>240</v>
      </c>
      <c r="D144" t="s">
        <v>248</v>
      </c>
      <c r="E144" s="2">
        <v>44986</v>
      </c>
      <c r="F144" t="s">
        <v>249</v>
      </c>
      <c r="G144">
        <v>7000</v>
      </c>
      <c r="H144" t="s">
        <v>255</v>
      </c>
      <c r="I144">
        <v>2</v>
      </c>
    </row>
    <row r="145" spans="1:9" x14ac:dyDescent="0.3">
      <c r="A145" t="s">
        <v>142</v>
      </c>
      <c r="B145" t="s">
        <v>228</v>
      </c>
      <c r="C145" t="s">
        <v>237</v>
      </c>
      <c r="D145" t="s">
        <v>243</v>
      </c>
      <c r="E145" s="2">
        <v>45227</v>
      </c>
      <c r="F145" t="s">
        <v>251</v>
      </c>
      <c r="G145">
        <v>7000</v>
      </c>
      <c r="H145" t="s">
        <v>256</v>
      </c>
    </row>
    <row r="146" spans="1:9" x14ac:dyDescent="0.3">
      <c r="A146" t="s">
        <v>143</v>
      </c>
      <c r="B146" t="s">
        <v>223</v>
      </c>
      <c r="C146" t="s">
        <v>239</v>
      </c>
      <c r="D146" t="s">
        <v>243</v>
      </c>
      <c r="E146" s="2">
        <v>45070</v>
      </c>
      <c r="F146" t="s">
        <v>249</v>
      </c>
      <c r="G146">
        <v>10000</v>
      </c>
      <c r="H146" t="s">
        <v>253</v>
      </c>
      <c r="I146">
        <v>4</v>
      </c>
    </row>
    <row r="147" spans="1:9" x14ac:dyDescent="0.3">
      <c r="A147" t="s">
        <v>144</v>
      </c>
      <c r="B147" t="s">
        <v>230</v>
      </c>
      <c r="C147" t="s">
        <v>237</v>
      </c>
      <c r="D147" t="s">
        <v>245</v>
      </c>
      <c r="E147" s="2">
        <v>45278</v>
      </c>
      <c r="F147" t="s">
        <v>250</v>
      </c>
      <c r="G147">
        <v>10000</v>
      </c>
      <c r="H147" t="s">
        <v>252</v>
      </c>
    </row>
    <row r="148" spans="1:9" x14ac:dyDescent="0.3">
      <c r="A148" t="s">
        <v>145</v>
      </c>
      <c r="B148" t="s">
        <v>231</v>
      </c>
      <c r="C148" t="s">
        <v>235</v>
      </c>
      <c r="D148" t="s">
        <v>245</v>
      </c>
      <c r="E148" s="2">
        <v>45159</v>
      </c>
      <c r="F148" t="s">
        <v>249</v>
      </c>
      <c r="G148">
        <v>7000</v>
      </c>
      <c r="H148" t="s">
        <v>255</v>
      </c>
      <c r="I148">
        <v>1</v>
      </c>
    </row>
    <row r="149" spans="1:9" x14ac:dyDescent="0.3">
      <c r="A149" t="s">
        <v>146</v>
      </c>
      <c r="B149" t="s">
        <v>229</v>
      </c>
      <c r="C149" t="s">
        <v>235</v>
      </c>
      <c r="D149" t="s">
        <v>246</v>
      </c>
      <c r="E149" s="2">
        <v>45216</v>
      </c>
      <c r="F149" t="s">
        <v>249</v>
      </c>
      <c r="G149">
        <v>5000</v>
      </c>
      <c r="H149" t="s">
        <v>255</v>
      </c>
      <c r="I149">
        <v>2</v>
      </c>
    </row>
    <row r="150" spans="1:9" x14ac:dyDescent="0.3">
      <c r="A150" t="s">
        <v>147</v>
      </c>
      <c r="B150" t="s">
        <v>230</v>
      </c>
      <c r="C150" t="s">
        <v>235</v>
      </c>
      <c r="D150" t="s">
        <v>244</v>
      </c>
      <c r="E150" s="2">
        <v>45002</v>
      </c>
      <c r="F150" t="s">
        <v>251</v>
      </c>
      <c r="G150">
        <v>5000</v>
      </c>
      <c r="H150" t="s">
        <v>254</v>
      </c>
    </row>
    <row r="151" spans="1:9" x14ac:dyDescent="0.3">
      <c r="A151" t="s">
        <v>57</v>
      </c>
      <c r="B151" t="s">
        <v>226</v>
      </c>
      <c r="C151" t="s">
        <v>238</v>
      </c>
      <c r="D151" t="s">
        <v>241</v>
      </c>
      <c r="E151" s="2">
        <v>45016</v>
      </c>
      <c r="F151" t="s">
        <v>249</v>
      </c>
      <c r="G151">
        <v>5000</v>
      </c>
      <c r="H151" t="s">
        <v>253</v>
      </c>
      <c r="I151">
        <v>1</v>
      </c>
    </row>
    <row r="152" spans="1:9" x14ac:dyDescent="0.3">
      <c r="A152" t="s">
        <v>148</v>
      </c>
      <c r="B152" t="s">
        <v>230</v>
      </c>
      <c r="C152" t="s">
        <v>237</v>
      </c>
      <c r="D152" t="s">
        <v>242</v>
      </c>
      <c r="E152" s="2">
        <v>45016</v>
      </c>
      <c r="F152" t="s">
        <v>250</v>
      </c>
      <c r="G152">
        <v>5000</v>
      </c>
      <c r="H152" t="s">
        <v>253</v>
      </c>
    </row>
    <row r="153" spans="1:9" x14ac:dyDescent="0.3">
      <c r="A153" t="s">
        <v>149</v>
      </c>
      <c r="B153" t="s">
        <v>227</v>
      </c>
      <c r="C153" t="s">
        <v>236</v>
      </c>
      <c r="D153" t="s">
        <v>245</v>
      </c>
      <c r="E153" s="2">
        <v>45170</v>
      </c>
      <c r="F153" t="s">
        <v>250</v>
      </c>
      <c r="G153">
        <v>10000</v>
      </c>
      <c r="H153" t="s">
        <v>255</v>
      </c>
    </row>
    <row r="154" spans="1:9" x14ac:dyDescent="0.3">
      <c r="A154" t="s">
        <v>150</v>
      </c>
      <c r="B154" t="s">
        <v>223</v>
      </c>
      <c r="C154" t="s">
        <v>239</v>
      </c>
      <c r="D154" t="s">
        <v>247</v>
      </c>
      <c r="E154" s="2">
        <v>45241</v>
      </c>
      <c r="F154" t="s">
        <v>249</v>
      </c>
      <c r="G154">
        <v>10000</v>
      </c>
      <c r="H154" t="s">
        <v>256</v>
      </c>
      <c r="I154">
        <v>1</v>
      </c>
    </row>
    <row r="155" spans="1:9" x14ac:dyDescent="0.3">
      <c r="A155" t="s">
        <v>36</v>
      </c>
      <c r="B155" t="s">
        <v>228</v>
      </c>
      <c r="C155" t="s">
        <v>234</v>
      </c>
      <c r="D155" t="s">
        <v>243</v>
      </c>
      <c r="E155" s="2">
        <v>45278</v>
      </c>
      <c r="F155" t="s">
        <v>249</v>
      </c>
      <c r="G155">
        <v>12000</v>
      </c>
      <c r="H155" t="s">
        <v>256</v>
      </c>
      <c r="I155">
        <v>1</v>
      </c>
    </row>
    <row r="156" spans="1:9" x14ac:dyDescent="0.3">
      <c r="A156" t="s">
        <v>54</v>
      </c>
      <c r="B156" t="s">
        <v>223</v>
      </c>
      <c r="C156" t="s">
        <v>237</v>
      </c>
      <c r="D156" t="s">
        <v>246</v>
      </c>
      <c r="E156" s="2">
        <v>44960</v>
      </c>
      <c r="F156" t="s">
        <v>249</v>
      </c>
      <c r="G156">
        <v>10000</v>
      </c>
      <c r="H156" t="s">
        <v>255</v>
      </c>
      <c r="I156">
        <v>5</v>
      </c>
    </row>
    <row r="157" spans="1:9" x14ac:dyDescent="0.3">
      <c r="A157" t="s">
        <v>151</v>
      </c>
      <c r="B157" t="s">
        <v>229</v>
      </c>
      <c r="C157" t="s">
        <v>234</v>
      </c>
      <c r="D157" t="s">
        <v>241</v>
      </c>
      <c r="E157" s="2">
        <v>45159</v>
      </c>
      <c r="F157" t="s">
        <v>251</v>
      </c>
      <c r="G157">
        <v>12000</v>
      </c>
      <c r="H157" t="s">
        <v>252</v>
      </c>
    </row>
    <row r="158" spans="1:9" x14ac:dyDescent="0.3">
      <c r="A158" t="s">
        <v>152</v>
      </c>
      <c r="B158" t="s">
        <v>223</v>
      </c>
      <c r="C158" t="s">
        <v>235</v>
      </c>
      <c r="D158" t="s">
        <v>243</v>
      </c>
      <c r="E158" s="2">
        <v>45158</v>
      </c>
      <c r="F158" t="s">
        <v>249</v>
      </c>
      <c r="G158">
        <v>12000</v>
      </c>
      <c r="H158" t="s">
        <v>254</v>
      </c>
      <c r="I158">
        <v>4</v>
      </c>
    </row>
    <row r="159" spans="1:9" x14ac:dyDescent="0.3">
      <c r="A159" t="s">
        <v>31</v>
      </c>
      <c r="B159" t="s">
        <v>227</v>
      </c>
      <c r="C159" t="s">
        <v>236</v>
      </c>
      <c r="D159" t="s">
        <v>244</v>
      </c>
      <c r="E159" s="2">
        <v>45145</v>
      </c>
      <c r="F159" t="s">
        <v>250</v>
      </c>
      <c r="G159">
        <v>10000</v>
      </c>
      <c r="H159" t="s">
        <v>254</v>
      </c>
    </row>
    <row r="160" spans="1:9" x14ac:dyDescent="0.3">
      <c r="A160" t="s">
        <v>153</v>
      </c>
      <c r="B160" t="s">
        <v>226</v>
      </c>
      <c r="C160" t="s">
        <v>239</v>
      </c>
      <c r="D160" t="s">
        <v>245</v>
      </c>
      <c r="E160" s="2">
        <v>44973</v>
      </c>
      <c r="F160" t="s">
        <v>249</v>
      </c>
      <c r="G160">
        <v>5000</v>
      </c>
      <c r="H160" t="s">
        <v>256</v>
      </c>
      <c r="I160">
        <v>1</v>
      </c>
    </row>
    <row r="161" spans="1:9" x14ac:dyDescent="0.3">
      <c r="A161" t="s">
        <v>154</v>
      </c>
      <c r="B161" t="s">
        <v>229</v>
      </c>
      <c r="C161" t="s">
        <v>238</v>
      </c>
      <c r="D161" t="s">
        <v>242</v>
      </c>
      <c r="E161" s="2">
        <v>45227</v>
      </c>
      <c r="F161" t="s">
        <v>251</v>
      </c>
      <c r="G161">
        <v>10000</v>
      </c>
      <c r="H161" t="s">
        <v>252</v>
      </c>
    </row>
    <row r="162" spans="1:9" x14ac:dyDescent="0.3">
      <c r="A162" t="s">
        <v>155</v>
      </c>
      <c r="B162" t="s">
        <v>229</v>
      </c>
      <c r="C162" t="s">
        <v>234</v>
      </c>
      <c r="D162" t="s">
        <v>242</v>
      </c>
      <c r="E162" s="2">
        <v>45074</v>
      </c>
      <c r="F162" t="s">
        <v>251</v>
      </c>
      <c r="G162">
        <v>10000</v>
      </c>
      <c r="H162" t="s">
        <v>254</v>
      </c>
    </row>
    <row r="163" spans="1:9" x14ac:dyDescent="0.3">
      <c r="A163" t="s">
        <v>156</v>
      </c>
      <c r="B163" t="s">
        <v>224</v>
      </c>
      <c r="C163" t="s">
        <v>235</v>
      </c>
      <c r="D163" t="s">
        <v>246</v>
      </c>
      <c r="E163" s="2">
        <v>45263</v>
      </c>
      <c r="F163" t="s">
        <v>250</v>
      </c>
      <c r="G163">
        <v>7000</v>
      </c>
      <c r="H163" t="s">
        <v>252</v>
      </c>
    </row>
    <row r="164" spans="1:9" x14ac:dyDescent="0.3">
      <c r="A164" t="s">
        <v>157</v>
      </c>
      <c r="B164" t="s">
        <v>232</v>
      </c>
      <c r="C164" t="s">
        <v>237</v>
      </c>
      <c r="D164" t="s">
        <v>245</v>
      </c>
      <c r="E164" s="2">
        <v>45069</v>
      </c>
      <c r="F164" t="s">
        <v>251</v>
      </c>
      <c r="G164">
        <v>7000</v>
      </c>
      <c r="H164" t="s">
        <v>256</v>
      </c>
    </row>
    <row r="165" spans="1:9" x14ac:dyDescent="0.3">
      <c r="A165" t="s">
        <v>158</v>
      </c>
      <c r="B165" t="s">
        <v>232</v>
      </c>
      <c r="C165" t="s">
        <v>233</v>
      </c>
      <c r="D165" t="s">
        <v>241</v>
      </c>
      <c r="E165" s="2">
        <v>44941</v>
      </c>
      <c r="F165" t="s">
        <v>249</v>
      </c>
      <c r="G165">
        <v>10000</v>
      </c>
      <c r="H165" t="s">
        <v>254</v>
      </c>
      <c r="I165">
        <v>3</v>
      </c>
    </row>
    <row r="166" spans="1:9" x14ac:dyDescent="0.3">
      <c r="A166" t="s">
        <v>59</v>
      </c>
      <c r="B166" t="s">
        <v>225</v>
      </c>
      <c r="C166" t="s">
        <v>238</v>
      </c>
      <c r="D166" t="s">
        <v>246</v>
      </c>
      <c r="E166" s="2">
        <v>45216</v>
      </c>
      <c r="F166" t="s">
        <v>251</v>
      </c>
      <c r="G166">
        <v>12000</v>
      </c>
      <c r="H166" t="s">
        <v>252</v>
      </c>
    </row>
    <row r="167" spans="1:9" x14ac:dyDescent="0.3">
      <c r="A167" t="s">
        <v>159</v>
      </c>
      <c r="B167" t="s">
        <v>225</v>
      </c>
      <c r="C167" t="s">
        <v>236</v>
      </c>
      <c r="D167" t="s">
        <v>247</v>
      </c>
      <c r="E167" s="2">
        <v>45119</v>
      </c>
      <c r="F167" t="s">
        <v>250</v>
      </c>
      <c r="G167">
        <v>12000</v>
      </c>
      <c r="H167" t="s">
        <v>254</v>
      </c>
    </row>
    <row r="168" spans="1:9" x14ac:dyDescent="0.3">
      <c r="A168" t="s">
        <v>42</v>
      </c>
      <c r="B168" t="s">
        <v>229</v>
      </c>
      <c r="C168" t="s">
        <v>240</v>
      </c>
      <c r="D168" t="s">
        <v>244</v>
      </c>
      <c r="E168" s="2">
        <v>45217</v>
      </c>
      <c r="F168" t="s">
        <v>251</v>
      </c>
      <c r="G168">
        <v>5000</v>
      </c>
      <c r="H168" t="s">
        <v>252</v>
      </c>
    </row>
    <row r="169" spans="1:9" x14ac:dyDescent="0.3">
      <c r="A169" t="s">
        <v>160</v>
      </c>
      <c r="B169" t="s">
        <v>226</v>
      </c>
      <c r="C169" t="s">
        <v>233</v>
      </c>
      <c r="D169" t="s">
        <v>245</v>
      </c>
      <c r="E169" s="2">
        <v>45066</v>
      </c>
      <c r="F169" t="s">
        <v>250</v>
      </c>
      <c r="G169">
        <v>12000</v>
      </c>
      <c r="H169" t="s">
        <v>256</v>
      </c>
    </row>
    <row r="170" spans="1:9" x14ac:dyDescent="0.3">
      <c r="A170" t="s">
        <v>161</v>
      </c>
      <c r="B170" t="s">
        <v>228</v>
      </c>
      <c r="C170" t="s">
        <v>234</v>
      </c>
      <c r="D170" t="s">
        <v>241</v>
      </c>
      <c r="E170" s="2">
        <v>45037</v>
      </c>
      <c r="F170" t="s">
        <v>251</v>
      </c>
      <c r="G170">
        <v>5000</v>
      </c>
      <c r="H170" t="s">
        <v>254</v>
      </c>
    </row>
    <row r="171" spans="1:9" x14ac:dyDescent="0.3">
      <c r="A171" t="s">
        <v>66</v>
      </c>
      <c r="B171" t="s">
        <v>223</v>
      </c>
      <c r="C171" t="s">
        <v>240</v>
      </c>
      <c r="D171" t="s">
        <v>248</v>
      </c>
      <c r="E171" s="2">
        <v>45196</v>
      </c>
      <c r="F171" t="s">
        <v>251</v>
      </c>
      <c r="G171">
        <v>10000</v>
      </c>
      <c r="H171" t="s">
        <v>252</v>
      </c>
    </row>
    <row r="172" spans="1:9" x14ac:dyDescent="0.3">
      <c r="A172" t="s">
        <v>162</v>
      </c>
      <c r="B172" t="s">
        <v>227</v>
      </c>
      <c r="C172" t="s">
        <v>233</v>
      </c>
      <c r="D172" t="s">
        <v>242</v>
      </c>
      <c r="E172" s="2">
        <v>45031</v>
      </c>
      <c r="F172" t="s">
        <v>250</v>
      </c>
      <c r="G172">
        <v>7000</v>
      </c>
      <c r="H172" t="s">
        <v>253</v>
      </c>
    </row>
    <row r="173" spans="1:9" x14ac:dyDescent="0.3">
      <c r="A173" t="s">
        <v>163</v>
      </c>
      <c r="B173" t="s">
        <v>231</v>
      </c>
      <c r="C173" t="s">
        <v>240</v>
      </c>
      <c r="D173" t="s">
        <v>244</v>
      </c>
      <c r="E173" s="2">
        <v>44988</v>
      </c>
      <c r="F173" t="s">
        <v>249</v>
      </c>
      <c r="G173">
        <v>12000</v>
      </c>
      <c r="H173" t="s">
        <v>256</v>
      </c>
      <c r="I173">
        <v>2</v>
      </c>
    </row>
    <row r="174" spans="1:9" x14ac:dyDescent="0.3">
      <c r="A174" t="s">
        <v>164</v>
      </c>
      <c r="B174" t="s">
        <v>227</v>
      </c>
      <c r="C174" t="s">
        <v>235</v>
      </c>
      <c r="D174" t="s">
        <v>244</v>
      </c>
      <c r="E174" s="2">
        <v>44963</v>
      </c>
      <c r="F174" t="s">
        <v>250</v>
      </c>
      <c r="G174">
        <v>5000</v>
      </c>
      <c r="H174" t="s">
        <v>256</v>
      </c>
    </row>
    <row r="175" spans="1:9" x14ac:dyDescent="0.3">
      <c r="A175" t="s">
        <v>165</v>
      </c>
      <c r="B175" t="s">
        <v>228</v>
      </c>
      <c r="C175" t="s">
        <v>236</v>
      </c>
      <c r="D175" t="s">
        <v>244</v>
      </c>
      <c r="E175" s="2">
        <v>45221</v>
      </c>
      <c r="F175" t="s">
        <v>250</v>
      </c>
      <c r="G175">
        <v>12000</v>
      </c>
      <c r="H175" t="s">
        <v>256</v>
      </c>
    </row>
    <row r="176" spans="1:9" x14ac:dyDescent="0.3">
      <c r="A176" t="s">
        <v>166</v>
      </c>
      <c r="B176" t="s">
        <v>223</v>
      </c>
      <c r="C176" t="s">
        <v>234</v>
      </c>
      <c r="D176" t="s">
        <v>242</v>
      </c>
      <c r="E176" s="2">
        <v>45093</v>
      </c>
      <c r="F176" t="s">
        <v>249</v>
      </c>
      <c r="G176">
        <v>12000</v>
      </c>
      <c r="H176" t="s">
        <v>254</v>
      </c>
      <c r="I176">
        <v>1</v>
      </c>
    </row>
    <row r="177" spans="1:9" x14ac:dyDescent="0.3">
      <c r="A177" t="s">
        <v>167</v>
      </c>
      <c r="B177" t="s">
        <v>223</v>
      </c>
      <c r="C177" t="s">
        <v>235</v>
      </c>
      <c r="D177" t="s">
        <v>243</v>
      </c>
      <c r="E177" s="2">
        <v>45228</v>
      </c>
      <c r="F177" t="s">
        <v>250</v>
      </c>
      <c r="G177">
        <v>5000</v>
      </c>
      <c r="H177" t="s">
        <v>256</v>
      </c>
    </row>
    <row r="178" spans="1:9" x14ac:dyDescent="0.3">
      <c r="A178" t="s">
        <v>168</v>
      </c>
      <c r="B178" t="s">
        <v>231</v>
      </c>
      <c r="C178" t="s">
        <v>237</v>
      </c>
      <c r="D178" t="s">
        <v>247</v>
      </c>
      <c r="E178" s="2">
        <v>45097</v>
      </c>
      <c r="F178" t="s">
        <v>249</v>
      </c>
      <c r="G178">
        <v>5000</v>
      </c>
      <c r="H178" t="s">
        <v>255</v>
      </c>
      <c r="I178">
        <v>1</v>
      </c>
    </row>
    <row r="179" spans="1:9" x14ac:dyDescent="0.3">
      <c r="A179" t="s">
        <v>169</v>
      </c>
      <c r="B179" t="s">
        <v>232</v>
      </c>
      <c r="C179" t="s">
        <v>235</v>
      </c>
      <c r="D179" t="s">
        <v>244</v>
      </c>
      <c r="E179" s="2">
        <v>45106</v>
      </c>
      <c r="F179" t="s">
        <v>251</v>
      </c>
      <c r="G179">
        <v>7000</v>
      </c>
      <c r="H179" t="s">
        <v>253</v>
      </c>
    </row>
    <row r="180" spans="1:9" x14ac:dyDescent="0.3">
      <c r="A180" t="s">
        <v>170</v>
      </c>
      <c r="B180" t="s">
        <v>226</v>
      </c>
      <c r="C180" t="s">
        <v>240</v>
      </c>
      <c r="D180" t="s">
        <v>247</v>
      </c>
      <c r="E180" s="2">
        <v>45015</v>
      </c>
      <c r="F180" t="s">
        <v>251</v>
      </c>
      <c r="G180">
        <v>7000</v>
      </c>
      <c r="H180" t="s">
        <v>252</v>
      </c>
    </row>
    <row r="181" spans="1:9" x14ac:dyDescent="0.3">
      <c r="A181" t="s">
        <v>171</v>
      </c>
      <c r="B181" t="s">
        <v>228</v>
      </c>
      <c r="C181" t="s">
        <v>239</v>
      </c>
      <c r="D181" t="s">
        <v>248</v>
      </c>
      <c r="E181" s="2">
        <v>45275</v>
      </c>
      <c r="F181" t="s">
        <v>251</v>
      </c>
      <c r="G181">
        <v>10000</v>
      </c>
      <c r="H181" t="s">
        <v>254</v>
      </c>
    </row>
    <row r="182" spans="1:9" x14ac:dyDescent="0.3">
      <c r="A182" t="s">
        <v>76</v>
      </c>
      <c r="B182" t="s">
        <v>228</v>
      </c>
      <c r="C182" t="s">
        <v>236</v>
      </c>
      <c r="D182" t="s">
        <v>248</v>
      </c>
      <c r="E182" s="2">
        <v>45153</v>
      </c>
      <c r="F182" t="s">
        <v>251</v>
      </c>
      <c r="G182">
        <v>10000</v>
      </c>
      <c r="H182" t="s">
        <v>254</v>
      </c>
    </row>
    <row r="183" spans="1:9" x14ac:dyDescent="0.3">
      <c r="A183" t="s">
        <v>172</v>
      </c>
      <c r="B183" t="s">
        <v>225</v>
      </c>
      <c r="C183" t="s">
        <v>237</v>
      </c>
      <c r="D183" t="s">
        <v>245</v>
      </c>
      <c r="E183" s="2">
        <v>45085</v>
      </c>
      <c r="F183" t="s">
        <v>250</v>
      </c>
      <c r="G183">
        <v>12000</v>
      </c>
      <c r="H183" t="s">
        <v>252</v>
      </c>
    </row>
    <row r="184" spans="1:9" x14ac:dyDescent="0.3">
      <c r="A184" t="s">
        <v>173</v>
      </c>
      <c r="B184" t="s">
        <v>229</v>
      </c>
      <c r="C184" t="s">
        <v>240</v>
      </c>
      <c r="D184" t="s">
        <v>245</v>
      </c>
      <c r="E184" s="2">
        <v>45257</v>
      </c>
      <c r="F184" t="s">
        <v>249</v>
      </c>
      <c r="G184">
        <v>12000</v>
      </c>
      <c r="H184" t="s">
        <v>256</v>
      </c>
      <c r="I184">
        <v>5</v>
      </c>
    </row>
    <row r="185" spans="1:9" x14ac:dyDescent="0.3">
      <c r="A185" t="s">
        <v>174</v>
      </c>
      <c r="B185" t="s">
        <v>225</v>
      </c>
      <c r="C185" t="s">
        <v>239</v>
      </c>
      <c r="D185" t="s">
        <v>247</v>
      </c>
      <c r="E185" s="2">
        <v>45091</v>
      </c>
      <c r="F185" t="s">
        <v>251</v>
      </c>
      <c r="G185">
        <v>12000</v>
      </c>
      <c r="H185" t="s">
        <v>255</v>
      </c>
    </row>
    <row r="186" spans="1:9" x14ac:dyDescent="0.3">
      <c r="A186" t="s">
        <v>76</v>
      </c>
      <c r="B186" t="s">
        <v>225</v>
      </c>
      <c r="C186" t="s">
        <v>239</v>
      </c>
      <c r="D186" t="s">
        <v>245</v>
      </c>
      <c r="E186" s="2">
        <v>45102</v>
      </c>
      <c r="F186" t="s">
        <v>251</v>
      </c>
      <c r="G186">
        <v>5000</v>
      </c>
      <c r="H186" t="s">
        <v>255</v>
      </c>
    </row>
    <row r="187" spans="1:9" x14ac:dyDescent="0.3">
      <c r="A187" t="s">
        <v>175</v>
      </c>
      <c r="B187" t="s">
        <v>226</v>
      </c>
      <c r="C187" t="s">
        <v>233</v>
      </c>
      <c r="D187" t="s">
        <v>247</v>
      </c>
      <c r="E187" s="2">
        <v>45289</v>
      </c>
      <c r="F187" t="s">
        <v>250</v>
      </c>
      <c r="G187">
        <v>12000</v>
      </c>
      <c r="H187" t="s">
        <v>255</v>
      </c>
    </row>
    <row r="188" spans="1:9" x14ac:dyDescent="0.3">
      <c r="A188" t="s">
        <v>44</v>
      </c>
      <c r="B188" t="s">
        <v>224</v>
      </c>
      <c r="C188" t="s">
        <v>238</v>
      </c>
      <c r="D188" t="s">
        <v>244</v>
      </c>
      <c r="E188" s="2">
        <v>45117</v>
      </c>
      <c r="F188" t="s">
        <v>250</v>
      </c>
      <c r="G188">
        <v>12000</v>
      </c>
      <c r="H188" t="s">
        <v>256</v>
      </c>
    </row>
    <row r="189" spans="1:9" x14ac:dyDescent="0.3">
      <c r="A189" t="s">
        <v>91</v>
      </c>
      <c r="B189" t="s">
        <v>229</v>
      </c>
      <c r="C189" t="s">
        <v>233</v>
      </c>
      <c r="D189" t="s">
        <v>244</v>
      </c>
      <c r="E189" s="2">
        <v>44960</v>
      </c>
      <c r="F189" t="s">
        <v>250</v>
      </c>
      <c r="G189">
        <v>5000</v>
      </c>
      <c r="H189" t="s">
        <v>255</v>
      </c>
    </row>
    <row r="190" spans="1:9" x14ac:dyDescent="0.3">
      <c r="A190" t="s">
        <v>176</v>
      </c>
      <c r="B190" t="s">
        <v>227</v>
      </c>
      <c r="C190" t="s">
        <v>240</v>
      </c>
      <c r="D190" t="s">
        <v>241</v>
      </c>
      <c r="E190" s="2">
        <v>45263</v>
      </c>
      <c r="F190" t="s">
        <v>251</v>
      </c>
      <c r="G190">
        <v>7000</v>
      </c>
      <c r="H190" t="s">
        <v>254</v>
      </c>
    </row>
    <row r="191" spans="1:9" x14ac:dyDescent="0.3">
      <c r="A191" t="s">
        <v>177</v>
      </c>
      <c r="B191" t="s">
        <v>224</v>
      </c>
      <c r="C191" t="s">
        <v>238</v>
      </c>
      <c r="D191" t="s">
        <v>244</v>
      </c>
      <c r="E191" s="2">
        <v>45085</v>
      </c>
      <c r="F191" t="s">
        <v>251</v>
      </c>
      <c r="G191">
        <v>12000</v>
      </c>
      <c r="H191" t="s">
        <v>253</v>
      </c>
    </row>
    <row r="192" spans="1:9" x14ac:dyDescent="0.3">
      <c r="A192" t="s">
        <v>178</v>
      </c>
      <c r="B192" t="s">
        <v>223</v>
      </c>
      <c r="C192" t="s">
        <v>240</v>
      </c>
      <c r="D192" t="s">
        <v>243</v>
      </c>
      <c r="E192" s="2">
        <v>45256</v>
      </c>
      <c r="F192" t="s">
        <v>250</v>
      </c>
      <c r="G192">
        <v>7000</v>
      </c>
      <c r="H192" t="s">
        <v>255</v>
      </c>
    </row>
    <row r="193" spans="1:9" x14ac:dyDescent="0.3">
      <c r="A193" t="s">
        <v>179</v>
      </c>
      <c r="B193" t="s">
        <v>227</v>
      </c>
      <c r="C193" t="s">
        <v>237</v>
      </c>
      <c r="D193" t="s">
        <v>242</v>
      </c>
      <c r="E193" s="2">
        <v>45112</v>
      </c>
      <c r="F193" t="s">
        <v>250</v>
      </c>
      <c r="G193">
        <v>7000</v>
      </c>
      <c r="H193" t="s">
        <v>253</v>
      </c>
    </row>
    <row r="194" spans="1:9" x14ac:dyDescent="0.3">
      <c r="A194" t="s">
        <v>180</v>
      </c>
      <c r="B194" t="s">
        <v>228</v>
      </c>
      <c r="C194" t="s">
        <v>235</v>
      </c>
      <c r="D194" t="s">
        <v>247</v>
      </c>
      <c r="E194" s="2">
        <v>44997</v>
      </c>
      <c r="F194" t="s">
        <v>249</v>
      </c>
      <c r="G194">
        <v>5000</v>
      </c>
      <c r="H194" t="s">
        <v>254</v>
      </c>
      <c r="I194">
        <v>1</v>
      </c>
    </row>
    <row r="195" spans="1:9" x14ac:dyDescent="0.3">
      <c r="A195" t="s">
        <v>181</v>
      </c>
      <c r="B195" t="s">
        <v>232</v>
      </c>
      <c r="C195" t="s">
        <v>233</v>
      </c>
      <c r="D195" t="s">
        <v>244</v>
      </c>
      <c r="E195" s="2">
        <v>45243</v>
      </c>
      <c r="F195" t="s">
        <v>249</v>
      </c>
      <c r="G195">
        <v>12000</v>
      </c>
      <c r="H195" t="s">
        <v>253</v>
      </c>
      <c r="I195">
        <v>2</v>
      </c>
    </row>
    <row r="196" spans="1:9" x14ac:dyDescent="0.3">
      <c r="A196" t="s">
        <v>182</v>
      </c>
      <c r="B196" t="s">
        <v>224</v>
      </c>
      <c r="C196" t="s">
        <v>238</v>
      </c>
      <c r="D196" t="s">
        <v>248</v>
      </c>
      <c r="E196" s="2">
        <v>44949</v>
      </c>
      <c r="F196" t="s">
        <v>250</v>
      </c>
      <c r="G196">
        <v>10000</v>
      </c>
      <c r="H196" t="s">
        <v>253</v>
      </c>
    </row>
    <row r="197" spans="1:9" x14ac:dyDescent="0.3">
      <c r="A197" t="s">
        <v>183</v>
      </c>
      <c r="B197" t="s">
        <v>228</v>
      </c>
      <c r="C197" t="s">
        <v>240</v>
      </c>
      <c r="D197" t="s">
        <v>248</v>
      </c>
      <c r="E197" s="2">
        <v>45046</v>
      </c>
      <c r="F197" t="s">
        <v>251</v>
      </c>
      <c r="G197">
        <v>7000</v>
      </c>
      <c r="H197" t="s">
        <v>254</v>
      </c>
    </row>
    <row r="198" spans="1:9" x14ac:dyDescent="0.3">
      <c r="A198" t="s">
        <v>184</v>
      </c>
      <c r="B198" t="s">
        <v>228</v>
      </c>
      <c r="C198" t="s">
        <v>235</v>
      </c>
      <c r="D198" t="s">
        <v>244</v>
      </c>
      <c r="E198" s="2">
        <v>45274</v>
      </c>
      <c r="F198" t="s">
        <v>251</v>
      </c>
      <c r="G198">
        <v>12000</v>
      </c>
      <c r="H198" t="s">
        <v>256</v>
      </c>
    </row>
    <row r="199" spans="1:9" x14ac:dyDescent="0.3">
      <c r="A199" t="s">
        <v>25</v>
      </c>
      <c r="B199" t="s">
        <v>231</v>
      </c>
      <c r="C199" t="s">
        <v>234</v>
      </c>
      <c r="D199" t="s">
        <v>243</v>
      </c>
      <c r="E199" s="2">
        <v>45009</v>
      </c>
      <c r="F199" t="s">
        <v>249</v>
      </c>
      <c r="G199">
        <v>7000</v>
      </c>
      <c r="H199" t="s">
        <v>254</v>
      </c>
      <c r="I199">
        <v>1</v>
      </c>
    </row>
    <row r="200" spans="1:9" x14ac:dyDescent="0.3">
      <c r="A200" t="s">
        <v>185</v>
      </c>
      <c r="B200" t="s">
        <v>228</v>
      </c>
      <c r="C200" t="s">
        <v>237</v>
      </c>
      <c r="D200" t="s">
        <v>245</v>
      </c>
      <c r="E200" s="2">
        <v>45291</v>
      </c>
      <c r="F200" t="s">
        <v>251</v>
      </c>
      <c r="G200">
        <v>5000</v>
      </c>
      <c r="H200" t="s">
        <v>254</v>
      </c>
    </row>
    <row r="201" spans="1:9" x14ac:dyDescent="0.3">
      <c r="A201" t="s">
        <v>186</v>
      </c>
      <c r="B201" t="s">
        <v>226</v>
      </c>
      <c r="C201" t="s">
        <v>240</v>
      </c>
      <c r="D201" t="s">
        <v>248</v>
      </c>
      <c r="E201" s="2">
        <v>45189</v>
      </c>
      <c r="F201" t="s">
        <v>249</v>
      </c>
      <c r="G201">
        <v>12000</v>
      </c>
      <c r="H201" t="s">
        <v>252</v>
      </c>
      <c r="I201">
        <v>2</v>
      </c>
    </row>
    <row r="202" spans="1:9" x14ac:dyDescent="0.3">
      <c r="A202" t="s">
        <v>187</v>
      </c>
      <c r="B202" t="s">
        <v>228</v>
      </c>
      <c r="C202" t="s">
        <v>237</v>
      </c>
      <c r="D202" t="s">
        <v>242</v>
      </c>
      <c r="E202" s="2">
        <v>45139</v>
      </c>
      <c r="F202" t="s">
        <v>249</v>
      </c>
      <c r="G202">
        <v>12000</v>
      </c>
      <c r="H202" t="s">
        <v>255</v>
      </c>
      <c r="I202">
        <v>3</v>
      </c>
    </row>
    <row r="203" spans="1:9" x14ac:dyDescent="0.3">
      <c r="A203" t="s">
        <v>188</v>
      </c>
      <c r="B203" t="s">
        <v>227</v>
      </c>
      <c r="C203" t="s">
        <v>236</v>
      </c>
      <c r="D203" t="s">
        <v>244</v>
      </c>
      <c r="E203" s="2">
        <v>45041</v>
      </c>
      <c r="F203" t="s">
        <v>249</v>
      </c>
      <c r="G203">
        <v>10000</v>
      </c>
      <c r="H203" t="s">
        <v>252</v>
      </c>
      <c r="I203">
        <v>3</v>
      </c>
    </row>
    <row r="204" spans="1:9" x14ac:dyDescent="0.3">
      <c r="A204" t="s">
        <v>189</v>
      </c>
      <c r="B204" t="s">
        <v>226</v>
      </c>
      <c r="C204" t="s">
        <v>238</v>
      </c>
      <c r="D204" t="s">
        <v>242</v>
      </c>
      <c r="E204" s="2">
        <v>45073</v>
      </c>
      <c r="F204" t="s">
        <v>250</v>
      </c>
      <c r="G204">
        <v>7000</v>
      </c>
      <c r="H204" t="s">
        <v>256</v>
      </c>
    </row>
    <row r="205" spans="1:9" x14ac:dyDescent="0.3">
      <c r="A205" t="s">
        <v>190</v>
      </c>
      <c r="B205" t="s">
        <v>224</v>
      </c>
      <c r="C205" t="s">
        <v>233</v>
      </c>
      <c r="D205" t="s">
        <v>245</v>
      </c>
      <c r="E205" s="2">
        <v>44936</v>
      </c>
      <c r="F205" t="s">
        <v>250</v>
      </c>
      <c r="G205">
        <v>7000</v>
      </c>
      <c r="H205" t="s">
        <v>253</v>
      </c>
    </row>
    <row r="206" spans="1:9" x14ac:dyDescent="0.3">
      <c r="A206" t="s">
        <v>151</v>
      </c>
      <c r="B206" t="s">
        <v>224</v>
      </c>
      <c r="C206" t="s">
        <v>234</v>
      </c>
      <c r="D206" t="s">
        <v>245</v>
      </c>
      <c r="E206" s="2">
        <v>45074</v>
      </c>
      <c r="F206" t="s">
        <v>249</v>
      </c>
      <c r="G206">
        <v>10000</v>
      </c>
      <c r="H206" t="s">
        <v>252</v>
      </c>
      <c r="I206">
        <v>1</v>
      </c>
    </row>
    <row r="207" spans="1:9" x14ac:dyDescent="0.3">
      <c r="A207" t="s">
        <v>191</v>
      </c>
      <c r="B207" t="s">
        <v>227</v>
      </c>
      <c r="C207" t="s">
        <v>239</v>
      </c>
      <c r="D207" t="s">
        <v>245</v>
      </c>
      <c r="E207" s="2">
        <v>44983</v>
      </c>
      <c r="F207" t="s">
        <v>250</v>
      </c>
      <c r="G207">
        <v>5000</v>
      </c>
      <c r="H207" t="s">
        <v>255</v>
      </c>
    </row>
    <row r="208" spans="1:9" x14ac:dyDescent="0.3">
      <c r="A208" t="s">
        <v>192</v>
      </c>
      <c r="B208" t="s">
        <v>230</v>
      </c>
      <c r="C208" t="s">
        <v>238</v>
      </c>
      <c r="D208" t="s">
        <v>241</v>
      </c>
      <c r="E208" s="2">
        <v>45146</v>
      </c>
      <c r="F208" t="s">
        <v>249</v>
      </c>
      <c r="G208">
        <v>10000</v>
      </c>
      <c r="H208" t="s">
        <v>253</v>
      </c>
      <c r="I208">
        <v>5</v>
      </c>
    </row>
    <row r="209" spans="1:9" x14ac:dyDescent="0.3">
      <c r="A209" t="s">
        <v>193</v>
      </c>
      <c r="B209" t="s">
        <v>226</v>
      </c>
      <c r="C209" t="s">
        <v>236</v>
      </c>
      <c r="D209" t="s">
        <v>244</v>
      </c>
      <c r="E209" s="2">
        <v>44961</v>
      </c>
      <c r="F209" t="s">
        <v>251</v>
      </c>
      <c r="G209">
        <v>5000</v>
      </c>
      <c r="H209" t="s">
        <v>256</v>
      </c>
    </row>
    <row r="210" spans="1:9" x14ac:dyDescent="0.3">
      <c r="A210" t="s">
        <v>194</v>
      </c>
      <c r="B210" t="s">
        <v>228</v>
      </c>
      <c r="C210" t="s">
        <v>233</v>
      </c>
      <c r="D210" t="s">
        <v>243</v>
      </c>
      <c r="E210" s="2">
        <v>45118</v>
      </c>
      <c r="F210" t="s">
        <v>250</v>
      </c>
      <c r="G210">
        <v>5000</v>
      </c>
      <c r="H210" t="s">
        <v>254</v>
      </c>
    </row>
    <row r="211" spans="1:9" x14ac:dyDescent="0.3">
      <c r="A211" t="s">
        <v>137</v>
      </c>
      <c r="B211" t="s">
        <v>223</v>
      </c>
      <c r="C211" t="s">
        <v>237</v>
      </c>
      <c r="D211" t="s">
        <v>247</v>
      </c>
      <c r="E211" s="2">
        <v>45263</v>
      </c>
      <c r="F211" t="s">
        <v>251</v>
      </c>
      <c r="G211">
        <v>5000</v>
      </c>
      <c r="H211" t="s">
        <v>255</v>
      </c>
    </row>
    <row r="212" spans="1:9" x14ac:dyDescent="0.3">
      <c r="A212" t="s">
        <v>111</v>
      </c>
      <c r="B212" t="s">
        <v>229</v>
      </c>
      <c r="C212" t="s">
        <v>238</v>
      </c>
      <c r="D212" t="s">
        <v>242</v>
      </c>
      <c r="E212" s="2">
        <v>45107</v>
      </c>
      <c r="F212" t="s">
        <v>251</v>
      </c>
      <c r="G212">
        <v>10000</v>
      </c>
      <c r="H212" t="s">
        <v>253</v>
      </c>
    </row>
    <row r="213" spans="1:9" x14ac:dyDescent="0.3">
      <c r="A213" t="s">
        <v>92</v>
      </c>
      <c r="B213" t="s">
        <v>228</v>
      </c>
      <c r="C213" t="s">
        <v>239</v>
      </c>
      <c r="D213" t="s">
        <v>246</v>
      </c>
      <c r="E213" s="2">
        <v>44996</v>
      </c>
      <c r="F213" t="s">
        <v>249</v>
      </c>
      <c r="G213">
        <v>12000</v>
      </c>
      <c r="H213" t="s">
        <v>252</v>
      </c>
      <c r="I213">
        <v>3</v>
      </c>
    </row>
    <row r="214" spans="1:9" x14ac:dyDescent="0.3">
      <c r="A214" t="s">
        <v>195</v>
      </c>
      <c r="B214" t="s">
        <v>225</v>
      </c>
      <c r="C214" t="s">
        <v>235</v>
      </c>
      <c r="D214" t="s">
        <v>242</v>
      </c>
      <c r="E214" s="2">
        <v>45088</v>
      </c>
      <c r="F214" t="s">
        <v>250</v>
      </c>
      <c r="G214">
        <v>12000</v>
      </c>
      <c r="H214" t="s">
        <v>255</v>
      </c>
    </row>
    <row r="215" spans="1:9" x14ac:dyDescent="0.3">
      <c r="A215" t="s">
        <v>67</v>
      </c>
      <c r="B215" t="s">
        <v>231</v>
      </c>
      <c r="C215" t="s">
        <v>233</v>
      </c>
      <c r="D215" t="s">
        <v>247</v>
      </c>
      <c r="E215" s="2">
        <v>45073</v>
      </c>
      <c r="F215" t="s">
        <v>250</v>
      </c>
      <c r="G215">
        <v>5000</v>
      </c>
      <c r="H215" t="s">
        <v>254</v>
      </c>
    </row>
    <row r="216" spans="1:9" x14ac:dyDescent="0.3">
      <c r="A216" t="s">
        <v>196</v>
      </c>
      <c r="B216" t="s">
        <v>223</v>
      </c>
      <c r="C216" t="s">
        <v>237</v>
      </c>
      <c r="D216" t="s">
        <v>243</v>
      </c>
      <c r="E216" s="2">
        <v>45131</v>
      </c>
      <c r="F216" t="s">
        <v>251</v>
      </c>
      <c r="G216">
        <v>12000</v>
      </c>
      <c r="H216" t="s">
        <v>256</v>
      </c>
    </row>
    <row r="217" spans="1:9" x14ac:dyDescent="0.3">
      <c r="A217" t="s">
        <v>197</v>
      </c>
      <c r="B217" t="s">
        <v>226</v>
      </c>
      <c r="C217" t="s">
        <v>239</v>
      </c>
      <c r="D217" t="s">
        <v>248</v>
      </c>
      <c r="E217" s="2">
        <v>45115</v>
      </c>
      <c r="F217" t="s">
        <v>251</v>
      </c>
      <c r="G217">
        <v>10000</v>
      </c>
      <c r="H217" t="s">
        <v>252</v>
      </c>
    </row>
    <row r="218" spans="1:9" x14ac:dyDescent="0.3">
      <c r="A218" t="s">
        <v>198</v>
      </c>
      <c r="B218" t="s">
        <v>227</v>
      </c>
      <c r="C218" t="s">
        <v>236</v>
      </c>
      <c r="D218" t="s">
        <v>243</v>
      </c>
      <c r="E218" s="2">
        <v>45235</v>
      </c>
      <c r="F218" t="s">
        <v>249</v>
      </c>
      <c r="G218">
        <v>10000</v>
      </c>
      <c r="H218" t="s">
        <v>254</v>
      </c>
      <c r="I218">
        <v>1</v>
      </c>
    </row>
    <row r="219" spans="1:9" x14ac:dyDescent="0.3">
      <c r="A219" t="s">
        <v>16</v>
      </c>
      <c r="B219" t="s">
        <v>229</v>
      </c>
      <c r="C219" t="s">
        <v>240</v>
      </c>
      <c r="D219" t="s">
        <v>241</v>
      </c>
      <c r="E219" s="2">
        <v>45155</v>
      </c>
      <c r="F219" t="s">
        <v>251</v>
      </c>
      <c r="G219">
        <v>12000</v>
      </c>
      <c r="H219" t="s">
        <v>253</v>
      </c>
    </row>
    <row r="220" spans="1:9" x14ac:dyDescent="0.3">
      <c r="A220" t="s">
        <v>199</v>
      </c>
      <c r="B220" t="s">
        <v>228</v>
      </c>
      <c r="C220" t="s">
        <v>237</v>
      </c>
      <c r="D220" t="s">
        <v>248</v>
      </c>
      <c r="E220" s="2">
        <v>44948</v>
      </c>
      <c r="F220" t="s">
        <v>251</v>
      </c>
      <c r="G220">
        <v>10000</v>
      </c>
      <c r="H220" t="s">
        <v>255</v>
      </c>
    </row>
    <row r="221" spans="1:9" x14ac:dyDescent="0.3">
      <c r="A221" t="s">
        <v>200</v>
      </c>
      <c r="B221" t="s">
        <v>231</v>
      </c>
      <c r="C221" t="s">
        <v>233</v>
      </c>
      <c r="D221" t="s">
        <v>245</v>
      </c>
      <c r="E221" s="2">
        <v>45270</v>
      </c>
      <c r="F221" t="s">
        <v>251</v>
      </c>
      <c r="G221">
        <v>12000</v>
      </c>
      <c r="H221" t="s">
        <v>254</v>
      </c>
    </row>
    <row r="222" spans="1:9" x14ac:dyDescent="0.3">
      <c r="A222" t="s">
        <v>201</v>
      </c>
      <c r="B222" t="s">
        <v>226</v>
      </c>
      <c r="C222" t="s">
        <v>233</v>
      </c>
      <c r="D222" t="s">
        <v>246</v>
      </c>
      <c r="E222" s="2">
        <v>45238</v>
      </c>
      <c r="F222" t="s">
        <v>251</v>
      </c>
      <c r="G222">
        <v>12000</v>
      </c>
      <c r="H222" t="s">
        <v>252</v>
      </c>
    </row>
    <row r="223" spans="1:9" x14ac:dyDescent="0.3">
      <c r="A223" t="s">
        <v>86</v>
      </c>
      <c r="B223" t="s">
        <v>223</v>
      </c>
      <c r="C223" t="s">
        <v>235</v>
      </c>
      <c r="D223" t="s">
        <v>244</v>
      </c>
      <c r="E223" s="2">
        <v>45112</v>
      </c>
      <c r="F223" t="s">
        <v>250</v>
      </c>
      <c r="G223">
        <v>5000</v>
      </c>
      <c r="H223" t="s">
        <v>255</v>
      </c>
    </row>
    <row r="224" spans="1:9" x14ac:dyDescent="0.3">
      <c r="A224" t="s">
        <v>202</v>
      </c>
      <c r="B224" t="s">
        <v>228</v>
      </c>
      <c r="C224" t="s">
        <v>237</v>
      </c>
      <c r="D224" t="s">
        <v>244</v>
      </c>
      <c r="E224" s="2">
        <v>45154</v>
      </c>
      <c r="F224" t="s">
        <v>249</v>
      </c>
      <c r="G224">
        <v>7000</v>
      </c>
      <c r="H224" t="s">
        <v>255</v>
      </c>
      <c r="I224">
        <v>3</v>
      </c>
    </row>
    <row r="225" spans="1:9" x14ac:dyDescent="0.3">
      <c r="A225" t="s">
        <v>145</v>
      </c>
      <c r="B225" t="s">
        <v>229</v>
      </c>
      <c r="C225" t="s">
        <v>240</v>
      </c>
      <c r="D225" t="s">
        <v>247</v>
      </c>
      <c r="E225" s="2">
        <v>44985</v>
      </c>
      <c r="F225" t="s">
        <v>249</v>
      </c>
      <c r="G225">
        <v>7000</v>
      </c>
      <c r="H225" t="s">
        <v>256</v>
      </c>
      <c r="I225">
        <v>5</v>
      </c>
    </row>
    <row r="226" spans="1:9" x14ac:dyDescent="0.3">
      <c r="A226" t="s">
        <v>203</v>
      </c>
      <c r="B226" t="s">
        <v>232</v>
      </c>
      <c r="C226" t="s">
        <v>236</v>
      </c>
      <c r="D226" t="s">
        <v>241</v>
      </c>
      <c r="E226" s="2">
        <v>45060</v>
      </c>
      <c r="F226" t="s">
        <v>251</v>
      </c>
      <c r="G226">
        <v>12000</v>
      </c>
      <c r="H226" t="s">
        <v>253</v>
      </c>
    </row>
    <row r="227" spans="1:9" x14ac:dyDescent="0.3">
      <c r="A227" t="s">
        <v>48</v>
      </c>
      <c r="B227" t="s">
        <v>231</v>
      </c>
      <c r="C227" t="s">
        <v>239</v>
      </c>
      <c r="D227" t="s">
        <v>247</v>
      </c>
      <c r="E227" s="2">
        <v>44989</v>
      </c>
      <c r="F227" t="s">
        <v>249</v>
      </c>
      <c r="G227">
        <v>5000</v>
      </c>
      <c r="H227" t="s">
        <v>256</v>
      </c>
      <c r="I227">
        <v>2</v>
      </c>
    </row>
    <row r="228" spans="1:9" x14ac:dyDescent="0.3">
      <c r="A228" t="s">
        <v>54</v>
      </c>
      <c r="B228" t="s">
        <v>228</v>
      </c>
      <c r="C228" t="s">
        <v>236</v>
      </c>
      <c r="D228" t="s">
        <v>244</v>
      </c>
      <c r="E228" s="2">
        <v>45268</v>
      </c>
      <c r="F228" t="s">
        <v>250</v>
      </c>
      <c r="G228">
        <v>5000</v>
      </c>
      <c r="H228" t="s">
        <v>255</v>
      </c>
    </row>
    <row r="229" spans="1:9" x14ac:dyDescent="0.3">
      <c r="A229" t="s">
        <v>204</v>
      </c>
      <c r="B229" t="s">
        <v>231</v>
      </c>
      <c r="C229" t="s">
        <v>240</v>
      </c>
      <c r="D229" t="s">
        <v>246</v>
      </c>
      <c r="E229" s="2">
        <v>45291</v>
      </c>
      <c r="F229" t="s">
        <v>251</v>
      </c>
      <c r="G229">
        <v>7000</v>
      </c>
      <c r="H229" t="s">
        <v>254</v>
      </c>
    </row>
    <row r="230" spans="1:9" x14ac:dyDescent="0.3">
      <c r="A230" t="s">
        <v>205</v>
      </c>
      <c r="B230" t="s">
        <v>230</v>
      </c>
      <c r="C230" t="s">
        <v>236</v>
      </c>
      <c r="D230" t="s">
        <v>247</v>
      </c>
      <c r="E230" s="2">
        <v>44998</v>
      </c>
      <c r="F230" t="s">
        <v>249</v>
      </c>
      <c r="G230">
        <v>12000</v>
      </c>
      <c r="H230" t="s">
        <v>252</v>
      </c>
      <c r="I230">
        <v>3</v>
      </c>
    </row>
    <row r="231" spans="1:9" x14ac:dyDescent="0.3">
      <c r="A231" t="s">
        <v>174</v>
      </c>
      <c r="B231" t="s">
        <v>224</v>
      </c>
      <c r="C231" t="s">
        <v>237</v>
      </c>
      <c r="D231" t="s">
        <v>248</v>
      </c>
      <c r="E231" s="2">
        <v>45209</v>
      </c>
      <c r="F231" t="s">
        <v>249</v>
      </c>
      <c r="G231">
        <v>5000</v>
      </c>
      <c r="H231" t="s">
        <v>252</v>
      </c>
      <c r="I231">
        <v>3</v>
      </c>
    </row>
    <row r="232" spans="1:9" x14ac:dyDescent="0.3">
      <c r="A232" t="s">
        <v>145</v>
      </c>
      <c r="B232" t="s">
        <v>228</v>
      </c>
      <c r="C232" t="s">
        <v>234</v>
      </c>
      <c r="D232" t="s">
        <v>243</v>
      </c>
      <c r="E232" s="2">
        <v>45221</v>
      </c>
      <c r="F232" t="s">
        <v>249</v>
      </c>
      <c r="G232">
        <v>7000</v>
      </c>
      <c r="H232" t="s">
        <v>254</v>
      </c>
      <c r="I232">
        <v>1</v>
      </c>
    </row>
    <row r="233" spans="1:9" x14ac:dyDescent="0.3">
      <c r="A233" t="s">
        <v>206</v>
      </c>
      <c r="B233" t="s">
        <v>228</v>
      </c>
      <c r="C233" t="s">
        <v>237</v>
      </c>
      <c r="D233" t="s">
        <v>246</v>
      </c>
      <c r="E233" s="2">
        <v>45209</v>
      </c>
      <c r="F233" t="s">
        <v>251</v>
      </c>
      <c r="G233">
        <v>7000</v>
      </c>
      <c r="H233" t="s">
        <v>253</v>
      </c>
    </row>
    <row r="234" spans="1:9" x14ac:dyDescent="0.3">
      <c r="A234" t="s">
        <v>207</v>
      </c>
      <c r="B234" t="s">
        <v>232</v>
      </c>
      <c r="C234" t="s">
        <v>233</v>
      </c>
      <c r="D234" t="s">
        <v>245</v>
      </c>
      <c r="E234" s="2">
        <v>45192</v>
      </c>
      <c r="F234" t="s">
        <v>249</v>
      </c>
      <c r="G234">
        <v>10000</v>
      </c>
      <c r="H234" t="s">
        <v>253</v>
      </c>
      <c r="I234">
        <v>2</v>
      </c>
    </row>
    <row r="235" spans="1:9" x14ac:dyDescent="0.3">
      <c r="A235" t="s">
        <v>208</v>
      </c>
      <c r="B235" t="s">
        <v>230</v>
      </c>
      <c r="C235" t="s">
        <v>237</v>
      </c>
      <c r="D235" t="s">
        <v>241</v>
      </c>
      <c r="E235" s="2">
        <v>44967</v>
      </c>
      <c r="F235" t="s">
        <v>250</v>
      </c>
      <c r="G235">
        <v>7000</v>
      </c>
      <c r="H235" t="s">
        <v>255</v>
      </c>
    </row>
    <row r="236" spans="1:9" x14ac:dyDescent="0.3">
      <c r="A236" t="s">
        <v>209</v>
      </c>
      <c r="B236" t="s">
        <v>226</v>
      </c>
      <c r="C236" t="s">
        <v>240</v>
      </c>
      <c r="D236" t="s">
        <v>245</v>
      </c>
      <c r="E236" s="2">
        <v>45184</v>
      </c>
      <c r="F236" t="s">
        <v>251</v>
      </c>
      <c r="G236">
        <v>7000</v>
      </c>
      <c r="H236" t="s">
        <v>255</v>
      </c>
    </row>
    <row r="237" spans="1:9" x14ac:dyDescent="0.3">
      <c r="A237" t="s">
        <v>210</v>
      </c>
      <c r="B237" t="s">
        <v>224</v>
      </c>
      <c r="C237" t="s">
        <v>238</v>
      </c>
      <c r="D237" t="s">
        <v>246</v>
      </c>
      <c r="E237" s="2">
        <v>45264</v>
      </c>
      <c r="F237" t="s">
        <v>251</v>
      </c>
      <c r="G237">
        <v>10000</v>
      </c>
      <c r="H237" t="s">
        <v>255</v>
      </c>
    </row>
    <row r="238" spans="1:9" x14ac:dyDescent="0.3">
      <c r="A238" t="s">
        <v>211</v>
      </c>
      <c r="B238" t="s">
        <v>225</v>
      </c>
      <c r="C238" t="s">
        <v>236</v>
      </c>
      <c r="D238" t="s">
        <v>242</v>
      </c>
      <c r="E238" s="2">
        <v>45255</v>
      </c>
      <c r="F238" t="s">
        <v>251</v>
      </c>
      <c r="G238">
        <v>10000</v>
      </c>
      <c r="H238" t="s">
        <v>253</v>
      </c>
    </row>
    <row r="239" spans="1:9" x14ac:dyDescent="0.3">
      <c r="A239" t="s">
        <v>212</v>
      </c>
      <c r="B239" t="s">
        <v>224</v>
      </c>
      <c r="C239" t="s">
        <v>234</v>
      </c>
      <c r="D239" t="s">
        <v>242</v>
      </c>
      <c r="E239" s="2">
        <v>45181</v>
      </c>
      <c r="F239" t="s">
        <v>251</v>
      </c>
      <c r="G239">
        <v>10000</v>
      </c>
      <c r="H239" t="s">
        <v>254</v>
      </c>
    </row>
    <row r="240" spans="1:9" x14ac:dyDescent="0.3">
      <c r="A240" t="s">
        <v>213</v>
      </c>
      <c r="B240" t="s">
        <v>230</v>
      </c>
      <c r="C240" t="s">
        <v>234</v>
      </c>
      <c r="D240" t="s">
        <v>241</v>
      </c>
      <c r="E240" s="2">
        <v>45159</v>
      </c>
      <c r="F240" t="s">
        <v>249</v>
      </c>
      <c r="G240">
        <v>5000</v>
      </c>
      <c r="H240" t="s">
        <v>253</v>
      </c>
      <c r="I240">
        <v>4</v>
      </c>
    </row>
    <row r="241" spans="1:9" x14ac:dyDescent="0.3">
      <c r="A241" t="s">
        <v>214</v>
      </c>
      <c r="B241" t="s">
        <v>228</v>
      </c>
      <c r="C241" t="s">
        <v>239</v>
      </c>
      <c r="D241" t="s">
        <v>247</v>
      </c>
      <c r="E241" s="2">
        <v>45101</v>
      </c>
      <c r="F241" t="s">
        <v>251</v>
      </c>
      <c r="G241">
        <v>7000</v>
      </c>
      <c r="H241" t="s">
        <v>254</v>
      </c>
    </row>
    <row r="242" spans="1:9" x14ac:dyDescent="0.3">
      <c r="A242" t="s">
        <v>215</v>
      </c>
      <c r="B242" t="s">
        <v>229</v>
      </c>
      <c r="C242" t="s">
        <v>237</v>
      </c>
      <c r="D242" t="s">
        <v>243</v>
      </c>
      <c r="E242" s="2">
        <v>44993</v>
      </c>
      <c r="F242" t="s">
        <v>250</v>
      </c>
      <c r="G242">
        <v>5000</v>
      </c>
      <c r="H242" t="s">
        <v>254</v>
      </c>
    </row>
    <row r="243" spans="1:9" x14ac:dyDescent="0.3">
      <c r="A243" t="s">
        <v>216</v>
      </c>
      <c r="B243" t="s">
        <v>228</v>
      </c>
      <c r="C243" t="s">
        <v>236</v>
      </c>
      <c r="D243" t="s">
        <v>241</v>
      </c>
      <c r="E243" s="2">
        <v>45157</v>
      </c>
      <c r="F243" t="s">
        <v>249</v>
      </c>
      <c r="G243">
        <v>7000</v>
      </c>
      <c r="H243" t="s">
        <v>252</v>
      </c>
      <c r="I243">
        <v>1</v>
      </c>
    </row>
    <row r="244" spans="1:9" x14ac:dyDescent="0.3">
      <c r="A244" t="s">
        <v>217</v>
      </c>
      <c r="B244" t="s">
        <v>227</v>
      </c>
      <c r="C244" t="s">
        <v>234</v>
      </c>
      <c r="D244" t="s">
        <v>247</v>
      </c>
      <c r="E244" s="2">
        <v>45008</v>
      </c>
      <c r="F244" t="s">
        <v>250</v>
      </c>
      <c r="G244">
        <v>10000</v>
      </c>
      <c r="H244" t="s">
        <v>253</v>
      </c>
    </row>
    <row r="245" spans="1:9" x14ac:dyDescent="0.3">
      <c r="A245" t="s">
        <v>218</v>
      </c>
      <c r="B245" t="s">
        <v>226</v>
      </c>
      <c r="C245" t="s">
        <v>239</v>
      </c>
      <c r="D245" t="s">
        <v>248</v>
      </c>
      <c r="E245" s="2">
        <v>45182</v>
      </c>
      <c r="F245" t="s">
        <v>250</v>
      </c>
      <c r="G245">
        <v>12000</v>
      </c>
      <c r="H245" t="s">
        <v>252</v>
      </c>
    </row>
    <row r="246" spans="1:9" x14ac:dyDescent="0.3">
      <c r="A246" t="s">
        <v>219</v>
      </c>
      <c r="B246" t="s">
        <v>227</v>
      </c>
      <c r="C246" t="s">
        <v>239</v>
      </c>
      <c r="D246" t="s">
        <v>247</v>
      </c>
      <c r="E246" s="2">
        <v>45037</v>
      </c>
      <c r="F246" t="s">
        <v>251</v>
      </c>
      <c r="G246">
        <v>10000</v>
      </c>
      <c r="H246" t="s">
        <v>252</v>
      </c>
    </row>
    <row r="247" spans="1:9" x14ac:dyDescent="0.3">
      <c r="A247" t="s">
        <v>146</v>
      </c>
      <c r="B247" t="s">
        <v>231</v>
      </c>
      <c r="C247" t="s">
        <v>239</v>
      </c>
      <c r="D247" t="s">
        <v>248</v>
      </c>
      <c r="E247" s="2">
        <v>45073</v>
      </c>
      <c r="F247" t="s">
        <v>251</v>
      </c>
      <c r="G247">
        <v>5000</v>
      </c>
      <c r="H247" t="s">
        <v>252</v>
      </c>
    </row>
    <row r="248" spans="1:9" x14ac:dyDescent="0.3">
      <c r="A248" t="s">
        <v>130</v>
      </c>
      <c r="B248" t="s">
        <v>226</v>
      </c>
      <c r="C248" t="s">
        <v>240</v>
      </c>
      <c r="D248" t="s">
        <v>244</v>
      </c>
      <c r="E248" s="2">
        <v>45133</v>
      </c>
      <c r="F248" t="s">
        <v>250</v>
      </c>
      <c r="G248">
        <v>5000</v>
      </c>
      <c r="H248" t="s">
        <v>256</v>
      </c>
    </row>
    <row r="249" spans="1:9" x14ac:dyDescent="0.3">
      <c r="A249" t="s">
        <v>220</v>
      </c>
      <c r="B249" t="s">
        <v>224</v>
      </c>
      <c r="C249" t="s">
        <v>235</v>
      </c>
      <c r="D249" t="s">
        <v>244</v>
      </c>
      <c r="E249" s="2">
        <v>45210</v>
      </c>
      <c r="F249" t="s">
        <v>250</v>
      </c>
      <c r="G249">
        <v>5000</v>
      </c>
      <c r="H249" t="s">
        <v>256</v>
      </c>
    </row>
    <row r="250" spans="1:9" x14ac:dyDescent="0.3">
      <c r="A250" t="s">
        <v>221</v>
      </c>
      <c r="B250" t="s">
        <v>228</v>
      </c>
      <c r="C250" t="s">
        <v>240</v>
      </c>
      <c r="D250" t="s">
        <v>245</v>
      </c>
      <c r="E250" s="2">
        <v>44992</v>
      </c>
      <c r="F250" t="s">
        <v>249</v>
      </c>
      <c r="G250">
        <v>12000</v>
      </c>
      <c r="H250" t="s">
        <v>254</v>
      </c>
      <c r="I250">
        <v>3</v>
      </c>
    </row>
    <row r="251" spans="1:9" x14ac:dyDescent="0.3">
      <c r="A251" t="s">
        <v>222</v>
      </c>
      <c r="B251" t="s">
        <v>229</v>
      </c>
      <c r="C251" t="s">
        <v>238</v>
      </c>
      <c r="D251" t="s">
        <v>247</v>
      </c>
      <c r="E251" s="2">
        <v>45235</v>
      </c>
      <c r="F251" t="s">
        <v>251</v>
      </c>
      <c r="G251">
        <v>12000</v>
      </c>
      <c r="H251" t="s">
        <v>255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675030-584C-423B-8324-55CF5C8439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</vt:lpstr>
      <vt:lpstr>2</vt:lpstr>
      <vt:lpstr>3</vt:lpstr>
      <vt:lpstr>4</vt:lpstr>
      <vt:lpstr>5</vt:lpstr>
      <vt:lpstr>KPI CARDS</vt:lpstr>
      <vt:lpstr>Dashboard</vt:lpstr>
      <vt:lpstr>Online</vt:lpstr>
      <vt:lpstr>Dummy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suruthisri</dc:creator>
  <cp:lastModifiedBy>Suruthi Sri</cp:lastModifiedBy>
  <dcterms:created xsi:type="dcterms:W3CDTF">2025-09-07T07:01:49Z</dcterms:created>
  <dcterms:modified xsi:type="dcterms:W3CDTF">2026-06-13T15:20:19Z</dcterms:modified>
</cp:coreProperties>
</file>